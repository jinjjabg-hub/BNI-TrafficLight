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BNI\9.트래픽\"/>
    </mc:Choice>
  </mc:AlternateContent>
  <xr:revisionPtr revIDLastSave="0" documentId="13_ncr:1_{37B24A12-A577-46A5-AD60-434EC2DD0C6E}" xr6:coauthVersionLast="47" xr6:coauthVersionMax="47" xr10:uidLastSave="{00000000-0000-0000-0000-000000000000}"/>
  <bookViews>
    <workbookView xWindow="-120" yWindow="-120" windowWidth="29040" windowHeight="15840" xr2:uid="{E7E30A1D-B342-4329-8F69-E1B72C365D14}"/>
  </bookViews>
  <sheets>
    <sheet name="2026-5" sheetId="10" r:id="rId1"/>
    <sheet name="2026-4" sheetId="9" r:id="rId2"/>
    <sheet name="2026-3" sheetId="8" r:id="rId3"/>
    <sheet name="2026-2" sheetId="7" r:id="rId4"/>
    <sheet name="2026-1" sheetId="6" r:id="rId5"/>
    <sheet name="2025-12" sheetId="5" r:id="rId6"/>
    <sheet name="2025-11" sheetId="4" r:id="rId7"/>
    <sheet name="2025-10" sheetId="3" r:id="rId8"/>
    <sheet name="2025-9" sheetId="11" r:id="rId9"/>
    <sheet name="2025-8" sheetId="12" r:id="rId10"/>
    <sheet name="2025-7" sheetId="13" r:id="rId11"/>
    <sheet name="2025-6" sheetId="14" r:id="rId12"/>
    <sheet name="2025-5" sheetId="15" r:id="rId13"/>
    <sheet name="2025-4" sheetId="16" r:id="rId14"/>
    <sheet name="2025-3" sheetId="17" r:id="rId15"/>
    <sheet name="2025-2" sheetId="18" r:id="rId16"/>
    <sheet name="2025-1" sheetId="19" r:id="rId17"/>
    <sheet name="Sheet10" sheetId="20" r:id="rId18"/>
  </sheets>
  <definedNames>
    <definedName name="_xlnm._FilterDatabase" localSheetId="7" hidden="1">'2025-10'!$A$2:$AB$2</definedName>
    <definedName name="_xlnm._FilterDatabase" localSheetId="6" hidden="1">'2025-11'!$A$2:$AB$2</definedName>
    <definedName name="_xlnm._FilterDatabase" localSheetId="5" hidden="1">'2025-12'!$A$2:$AB$2</definedName>
    <definedName name="_xlnm._FilterDatabase" localSheetId="10" hidden="1">'2025-7'!$A$2:$AB$2</definedName>
    <definedName name="_xlnm._FilterDatabase" localSheetId="9" hidden="1">'2025-8'!$A$2:$AB$2</definedName>
    <definedName name="_xlnm._FilterDatabase" localSheetId="8" hidden="1">'2025-9'!$A$2:$AB$2</definedName>
    <definedName name="_xlnm._FilterDatabase" localSheetId="4" hidden="1">'2026-1'!$A$2:$AB$2</definedName>
    <definedName name="_xlnm._FilterDatabase" localSheetId="3" hidden="1">'2026-2'!$A$2:$AB$2</definedName>
    <definedName name="_xlnm._FilterDatabase" localSheetId="2" hidden="1">'2026-3'!$A$2:$AB$2</definedName>
    <definedName name="_xlnm._FilterDatabase" localSheetId="1" hidden="1">'2026-4'!$A$2:$AB$2</definedName>
    <definedName name="_xlnm._FilterDatabase" localSheetId="0" hidden="1">'2026-5'!$A$2:$AB$2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1" i="10" l="1"/>
  <c r="Q31" i="10" s="1"/>
  <c r="V31" i="10" s="1"/>
  <c r="R31" i="10"/>
  <c r="S31" i="10"/>
  <c r="T31" i="10"/>
  <c r="U31" i="10"/>
  <c r="W31" i="10"/>
  <c r="X31" i="10"/>
  <c r="Y31" i="10"/>
  <c r="Z31" i="10"/>
  <c r="P33" i="10"/>
  <c r="Q33" i="10" s="1"/>
  <c r="V33" i="10" s="1"/>
  <c r="R33" i="10"/>
  <c r="X33" i="10" s="1"/>
  <c r="S33" i="10"/>
  <c r="Y33" i="10" s="1"/>
  <c r="T33" i="10"/>
  <c r="U33" i="10"/>
  <c r="W33" i="10"/>
  <c r="Z33" i="10"/>
  <c r="P34" i="10"/>
  <c r="Q34" i="10"/>
  <c r="R34" i="10"/>
  <c r="X34" i="10" s="1"/>
  <c r="S34" i="10"/>
  <c r="Y34" i="10" s="1"/>
  <c r="T34" i="10"/>
  <c r="U34" i="10"/>
  <c r="V34" i="10"/>
  <c r="W34" i="10"/>
  <c r="Z34" i="10"/>
  <c r="P35" i="10"/>
  <c r="Q35" i="10" s="1"/>
  <c r="V35" i="10" s="1"/>
  <c r="R35" i="10"/>
  <c r="S35" i="10"/>
  <c r="Y35" i="10" s="1"/>
  <c r="T35" i="10"/>
  <c r="U35" i="10"/>
  <c r="W35" i="10"/>
  <c r="X35" i="10"/>
  <c r="Z35" i="10"/>
  <c r="P36" i="10"/>
  <c r="Q36" i="10"/>
  <c r="V36" i="10" s="1"/>
  <c r="R36" i="10"/>
  <c r="X36" i="10" s="1"/>
  <c r="S36" i="10"/>
  <c r="Y36" i="10" s="1"/>
  <c r="T36" i="10"/>
  <c r="U36" i="10"/>
  <c r="W36" i="10"/>
  <c r="Z36" i="10"/>
  <c r="P37" i="10"/>
  <c r="Q37" i="10" s="1"/>
  <c r="V37" i="10" s="1"/>
  <c r="R37" i="10"/>
  <c r="X37" i="10" s="1"/>
  <c r="S37" i="10"/>
  <c r="Y37" i="10" s="1"/>
  <c r="T37" i="10"/>
  <c r="U37" i="10"/>
  <c r="W37" i="10"/>
  <c r="Z37" i="10"/>
  <c r="P30" i="10"/>
  <c r="Q30" i="10"/>
  <c r="V30" i="10" s="1"/>
  <c r="R30" i="10"/>
  <c r="X30" i="10" s="1"/>
  <c r="S30" i="10"/>
  <c r="Y30" i="10" s="1"/>
  <c r="T30" i="10"/>
  <c r="U30" i="10"/>
  <c r="W30" i="10"/>
  <c r="Z30" i="10"/>
  <c r="P32" i="10"/>
  <c r="Q32" i="10"/>
  <c r="V32" i="10" s="1"/>
  <c r="R32" i="10"/>
  <c r="X32" i="10" s="1"/>
  <c r="S32" i="10"/>
  <c r="T32" i="10"/>
  <c r="U32" i="10"/>
  <c r="W32" i="10"/>
  <c r="Y32" i="10"/>
  <c r="Z32" i="10"/>
  <c r="P29" i="10"/>
  <c r="Q29" i="10" s="1"/>
  <c r="V29" i="10" s="1"/>
  <c r="R29" i="10"/>
  <c r="X29" i="10" s="1"/>
  <c r="S29" i="10"/>
  <c r="Y29" i="10" s="1"/>
  <c r="T29" i="10"/>
  <c r="U29" i="10"/>
  <c r="W29" i="10"/>
  <c r="Z29" i="10"/>
  <c r="P6" i="10"/>
  <c r="Q6" i="10" s="1"/>
  <c r="V6" i="10" s="1"/>
  <c r="R6" i="10"/>
  <c r="X6" i="10" s="1"/>
  <c r="S6" i="10"/>
  <c r="Y6" i="10" s="1"/>
  <c r="T6" i="10"/>
  <c r="U6" i="10"/>
  <c r="W6" i="10"/>
  <c r="Z6" i="10"/>
  <c r="P10" i="10"/>
  <c r="Q10" i="10"/>
  <c r="V10" i="10" s="1"/>
  <c r="R10" i="10"/>
  <c r="X10" i="10" s="1"/>
  <c r="S10" i="10"/>
  <c r="T10" i="10"/>
  <c r="U10" i="10"/>
  <c r="W10" i="10"/>
  <c r="Y10" i="10"/>
  <c r="Z10" i="10"/>
  <c r="P9" i="10"/>
  <c r="Q9" i="10" s="1"/>
  <c r="V9" i="10" s="1"/>
  <c r="R9" i="10"/>
  <c r="X9" i="10" s="1"/>
  <c r="S9" i="10"/>
  <c r="Y9" i="10" s="1"/>
  <c r="T9" i="10"/>
  <c r="U9" i="10"/>
  <c r="W9" i="10"/>
  <c r="Z9" i="10"/>
  <c r="P8" i="10"/>
  <c r="Q8" i="10" s="1"/>
  <c r="V8" i="10" s="1"/>
  <c r="R8" i="10"/>
  <c r="S8" i="10"/>
  <c r="T8" i="10"/>
  <c r="U8" i="10"/>
  <c r="W8" i="10"/>
  <c r="X8" i="10"/>
  <c r="Y8" i="10"/>
  <c r="Z8" i="10"/>
  <c r="P7" i="10"/>
  <c r="Q7" i="10" s="1"/>
  <c r="V7" i="10" s="1"/>
  <c r="R7" i="10"/>
  <c r="X7" i="10" s="1"/>
  <c r="S7" i="10"/>
  <c r="Y7" i="10" s="1"/>
  <c r="T7" i="10"/>
  <c r="U7" i="10"/>
  <c r="W7" i="10"/>
  <c r="Z7" i="10"/>
  <c r="P11" i="10"/>
  <c r="Q11" i="10" s="1"/>
  <c r="V11" i="10" s="1"/>
  <c r="R11" i="10"/>
  <c r="X11" i="10" s="1"/>
  <c r="S11" i="10"/>
  <c r="Y11" i="10" s="1"/>
  <c r="T11" i="10"/>
  <c r="U11" i="10"/>
  <c r="W11" i="10"/>
  <c r="Z11" i="10"/>
  <c r="P5" i="10"/>
  <c r="Q5" i="10" s="1"/>
  <c r="V5" i="10" s="1"/>
  <c r="R5" i="10"/>
  <c r="X5" i="10" s="1"/>
  <c r="S5" i="10"/>
  <c r="Y5" i="10" s="1"/>
  <c r="T5" i="10"/>
  <c r="U5" i="10"/>
  <c r="W5" i="10"/>
  <c r="Z5" i="10"/>
  <c r="P3" i="10"/>
  <c r="Q3" i="10" s="1"/>
  <c r="V3" i="10" s="1"/>
  <c r="R3" i="10"/>
  <c r="S3" i="10"/>
  <c r="Y3" i="10" s="1"/>
  <c r="T3" i="10"/>
  <c r="U3" i="10"/>
  <c r="W3" i="10"/>
  <c r="X3" i="10"/>
  <c r="Z3" i="10"/>
  <c r="P4" i="10"/>
  <c r="Q4" i="10" s="1"/>
  <c r="V4" i="10" s="1"/>
  <c r="R4" i="10"/>
  <c r="X4" i="10" s="1"/>
  <c r="S4" i="10"/>
  <c r="Y4" i="10" s="1"/>
  <c r="T4" i="10"/>
  <c r="U4" i="10"/>
  <c r="W4" i="10"/>
  <c r="Z4" i="10"/>
  <c r="P22" i="10"/>
  <c r="Q22" i="10" s="1"/>
  <c r="V22" i="10" s="1"/>
  <c r="R22" i="10"/>
  <c r="X22" i="10" s="1"/>
  <c r="S22" i="10"/>
  <c r="Y22" i="10" s="1"/>
  <c r="T22" i="10"/>
  <c r="U22" i="10"/>
  <c r="W22" i="10"/>
  <c r="Z22" i="10"/>
  <c r="P23" i="10"/>
  <c r="Q23" i="10" s="1"/>
  <c r="V23" i="10" s="1"/>
  <c r="R23" i="10"/>
  <c r="X23" i="10" s="1"/>
  <c r="S23" i="10"/>
  <c r="T23" i="10"/>
  <c r="U23" i="10"/>
  <c r="W23" i="10"/>
  <c r="Y23" i="10"/>
  <c r="Z23" i="10"/>
  <c r="P25" i="10"/>
  <c r="Q25" i="10" s="1"/>
  <c r="V25" i="10" s="1"/>
  <c r="R25" i="10"/>
  <c r="S25" i="10"/>
  <c r="Y25" i="10" s="1"/>
  <c r="T25" i="10"/>
  <c r="U25" i="10"/>
  <c r="W25" i="10"/>
  <c r="X25" i="10"/>
  <c r="Z25" i="10"/>
  <c r="P26" i="10"/>
  <c r="Q26" i="10" s="1"/>
  <c r="V26" i="10" s="1"/>
  <c r="R26" i="10"/>
  <c r="X26" i="10" s="1"/>
  <c r="S26" i="10"/>
  <c r="Y26" i="10" s="1"/>
  <c r="T26" i="10"/>
  <c r="U26" i="10"/>
  <c r="W26" i="10"/>
  <c r="Z26" i="10"/>
  <c r="P27" i="10"/>
  <c r="Q27" i="10" s="1"/>
  <c r="V27" i="10" s="1"/>
  <c r="R27" i="10"/>
  <c r="X27" i="10" s="1"/>
  <c r="S27" i="10"/>
  <c r="T27" i="10"/>
  <c r="U27" i="10"/>
  <c r="W27" i="10"/>
  <c r="Y27" i="10"/>
  <c r="Z27" i="10"/>
  <c r="P24" i="10"/>
  <c r="Q24" i="10" s="1"/>
  <c r="V24" i="10" s="1"/>
  <c r="R24" i="10"/>
  <c r="S24" i="10"/>
  <c r="T24" i="10"/>
  <c r="U24" i="10"/>
  <c r="W24" i="10"/>
  <c r="X24" i="10"/>
  <c r="Y24" i="10"/>
  <c r="Z24" i="10"/>
  <c r="P28" i="10"/>
  <c r="Q28" i="10" s="1"/>
  <c r="V28" i="10" s="1"/>
  <c r="R28" i="10"/>
  <c r="X28" i="10" s="1"/>
  <c r="S28" i="10"/>
  <c r="Y28" i="10" s="1"/>
  <c r="T28" i="10"/>
  <c r="U28" i="10"/>
  <c r="W28" i="10"/>
  <c r="Z28" i="10"/>
  <c r="P12" i="10"/>
  <c r="Q12" i="10" s="1"/>
  <c r="V12" i="10" s="1"/>
  <c r="R12" i="10"/>
  <c r="X12" i="10" s="1"/>
  <c r="S12" i="10"/>
  <c r="Y12" i="10" s="1"/>
  <c r="T12" i="10"/>
  <c r="U12" i="10"/>
  <c r="W12" i="10"/>
  <c r="Z12" i="10"/>
  <c r="P13" i="10"/>
  <c r="Q13" i="10"/>
  <c r="R13" i="10"/>
  <c r="X13" i="10" s="1"/>
  <c r="S13" i="10"/>
  <c r="Y13" i="10" s="1"/>
  <c r="T13" i="10"/>
  <c r="U13" i="10"/>
  <c r="V13" i="10"/>
  <c r="W13" i="10"/>
  <c r="Z13" i="10"/>
  <c r="P17" i="10"/>
  <c r="Q17" i="10"/>
  <c r="V17" i="10" s="1"/>
  <c r="R17" i="10"/>
  <c r="S17" i="10"/>
  <c r="T17" i="10"/>
  <c r="U17" i="10"/>
  <c r="W17" i="10"/>
  <c r="X17" i="10"/>
  <c r="Y17" i="10"/>
  <c r="Z17" i="10"/>
  <c r="P16" i="10"/>
  <c r="Q16" i="10" s="1"/>
  <c r="V16" i="10" s="1"/>
  <c r="R16" i="10"/>
  <c r="X16" i="10" s="1"/>
  <c r="S16" i="10"/>
  <c r="Y16" i="10" s="1"/>
  <c r="T16" i="10"/>
  <c r="U16" i="10"/>
  <c r="W16" i="10"/>
  <c r="Z16" i="10"/>
  <c r="P15" i="10"/>
  <c r="Q15" i="10"/>
  <c r="V15" i="10" s="1"/>
  <c r="R15" i="10"/>
  <c r="X15" i="10" s="1"/>
  <c r="S15" i="10"/>
  <c r="Y15" i="10" s="1"/>
  <c r="T15" i="10"/>
  <c r="U15" i="10"/>
  <c r="W15" i="10"/>
  <c r="Z15" i="10"/>
  <c r="P14" i="10"/>
  <c r="Q14" i="10"/>
  <c r="V14" i="10" s="1"/>
  <c r="R14" i="10"/>
  <c r="X14" i="10" s="1"/>
  <c r="S14" i="10"/>
  <c r="Y14" i="10" s="1"/>
  <c r="T14" i="10"/>
  <c r="U14" i="10"/>
  <c r="W14" i="10"/>
  <c r="Z14" i="10"/>
  <c r="P19" i="10"/>
  <c r="Q19" i="10"/>
  <c r="V19" i="10" s="1"/>
  <c r="R19" i="10"/>
  <c r="X19" i="10" s="1"/>
  <c r="S19" i="10"/>
  <c r="Y19" i="10" s="1"/>
  <c r="T19" i="10"/>
  <c r="U19" i="10"/>
  <c r="W19" i="10"/>
  <c r="Z19" i="10"/>
  <c r="P20" i="10"/>
  <c r="Q20" i="10" s="1"/>
  <c r="V20" i="10" s="1"/>
  <c r="R20" i="10"/>
  <c r="X20" i="10" s="1"/>
  <c r="S20" i="10"/>
  <c r="Y20" i="10" s="1"/>
  <c r="T20" i="10"/>
  <c r="U20" i="10"/>
  <c r="W20" i="10"/>
  <c r="Z20" i="10"/>
  <c r="P18" i="10"/>
  <c r="Q18" i="10" s="1"/>
  <c r="V18" i="10" s="1"/>
  <c r="R18" i="10"/>
  <c r="X18" i="10" s="1"/>
  <c r="S18" i="10"/>
  <c r="Y18" i="10" s="1"/>
  <c r="T18" i="10"/>
  <c r="U18" i="10"/>
  <c r="W18" i="10"/>
  <c r="Z18" i="10"/>
  <c r="P21" i="10"/>
  <c r="Q21" i="10"/>
  <c r="V21" i="10" s="1"/>
  <c r="R21" i="10"/>
  <c r="X21" i="10" s="1"/>
  <c r="S21" i="10"/>
  <c r="Y21" i="10" s="1"/>
  <c r="T21" i="10"/>
  <c r="U21" i="10"/>
  <c r="W21" i="10"/>
  <c r="Z21" i="10"/>
  <c r="AA8" i="10" l="1"/>
  <c r="AB8" i="10" s="1"/>
  <c r="AA28" i="10"/>
  <c r="AB28" i="10" s="1"/>
  <c r="AA34" i="10"/>
  <c r="AB34" i="10" s="1"/>
  <c r="AA35" i="10"/>
  <c r="AB35" i="10" s="1"/>
  <c r="AA32" i="10"/>
  <c r="AB32" i="10" s="1"/>
  <c r="AA9" i="10"/>
  <c r="AB9" i="10" s="1"/>
  <c r="AA36" i="10"/>
  <c r="AB36" i="10" s="1"/>
  <c r="AA14" i="10"/>
  <c r="AB14" i="10" s="1"/>
  <c r="AA22" i="10"/>
  <c r="AB22" i="10" s="1"/>
  <c r="AA23" i="10"/>
  <c r="AB23" i="10" s="1"/>
  <c r="AA24" i="10"/>
  <c r="AB24" i="10" s="1"/>
  <c r="AA16" i="10"/>
  <c r="AB16" i="10" s="1"/>
  <c r="AA3" i="10"/>
  <c r="AB3" i="10" s="1"/>
  <c r="AA29" i="10"/>
  <c r="AB29" i="10" s="1"/>
  <c r="AA13" i="10"/>
  <c r="AB13" i="10" s="1"/>
  <c r="AA11" i="10"/>
  <c r="AB11" i="10" s="1"/>
  <c r="AA5" i="10"/>
  <c r="AB5" i="10" s="1"/>
  <c r="AA19" i="10"/>
  <c r="AB19" i="10" s="1"/>
  <c r="AA17" i="10"/>
  <c r="AB17" i="10" s="1"/>
  <c r="AA31" i="10"/>
  <c r="AB31" i="10" s="1"/>
  <c r="AA7" i="10"/>
  <c r="AB7" i="10" s="1"/>
  <c r="AA18" i="10"/>
  <c r="AB18" i="10" s="1"/>
  <c r="AA10" i="10"/>
  <c r="AB10" i="10" s="1"/>
  <c r="AA6" i="10"/>
  <c r="AB6" i="10" s="1"/>
  <c r="AA26" i="10"/>
  <c r="AB26" i="10" s="1"/>
  <c r="AA12" i="10"/>
  <c r="AB12" i="10" s="1"/>
  <c r="AA37" i="10"/>
  <c r="AB37" i="10" s="1"/>
  <c r="AA33" i="10"/>
  <c r="AB33" i="10" s="1"/>
  <c r="AA27" i="10"/>
  <c r="AB27" i="10" s="1"/>
  <c r="AA4" i="10"/>
  <c r="AB4" i="10" s="1"/>
  <c r="AA21" i="10"/>
  <c r="AB21" i="10" s="1"/>
  <c r="AA25" i="10"/>
  <c r="AB25" i="10" s="1"/>
  <c r="AA20" i="10"/>
  <c r="AB20" i="10" s="1"/>
  <c r="AA15" i="10"/>
  <c r="AB15" i="10" s="1"/>
  <c r="AA30" i="10"/>
  <c r="AB30" i="10" s="1"/>
  <c r="Z35" i="15"/>
  <c r="W35" i="15"/>
  <c r="U35" i="15"/>
  <c r="T35" i="15"/>
  <c r="S35" i="15"/>
  <c r="Y35" i="15" s="1"/>
  <c r="R35" i="15"/>
  <c r="X35" i="15" s="1"/>
  <c r="Q35" i="15"/>
  <c r="V35" i="15" s="1"/>
  <c r="P35" i="15"/>
  <c r="Z34" i="15"/>
  <c r="X34" i="15"/>
  <c r="W34" i="15"/>
  <c r="V34" i="15"/>
  <c r="AA34" i="15" s="1"/>
  <c r="AB34" i="15" s="1"/>
  <c r="U34" i="15"/>
  <c r="T34" i="15"/>
  <c r="S34" i="15"/>
  <c r="Y34" i="15" s="1"/>
  <c r="R34" i="15"/>
  <c r="Q34" i="15"/>
  <c r="P34" i="15"/>
  <c r="Z33" i="15"/>
  <c r="Y33" i="15"/>
  <c r="W33" i="15"/>
  <c r="U33" i="15"/>
  <c r="T33" i="15"/>
  <c r="AA33" i="15" s="1"/>
  <c r="AB33" i="15" s="1"/>
  <c r="S33" i="15"/>
  <c r="R33" i="15"/>
  <c r="X33" i="15" s="1"/>
  <c r="P33" i="15"/>
  <c r="Q33" i="15" s="1"/>
  <c r="V33" i="15" s="1"/>
  <c r="Z32" i="15"/>
  <c r="X32" i="15"/>
  <c r="W32" i="15"/>
  <c r="U32" i="15"/>
  <c r="T32" i="15"/>
  <c r="S32" i="15"/>
  <c r="Y32" i="15" s="1"/>
  <c r="R32" i="15"/>
  <c r="Q32" i="15"/>
  <c r="V32" i="15" s="1"/>
  <c r="P32" i="15"/>
  <c r="Z31" i="15"/>
  <c r="Y31" i="15"/>
  <c r="W31" i="15"/>
  <c r="U31" i="15"/>
  <c r="T31" i="15"/>
  <c r="S31" i="15"/>
  <c r="R31" i="15"/>
  <c r="X31" i="15" s="1"/>
  <c r="P31" i="15"/>
  <c r="Q31" i="15" s="1"/>
  <c r="V31" i="15" s="1"/>
  <c r="AA31" i="15" s="1"/>
  <c r="AB31" i="15" s="1"/>
  <c r="Z30" i="15"/>
  <c r="X30" i="15"/>
  <c r="W30" i="15"/>
  <c r="U30" i="15"/>
  <c r="AA30" i="15" s="1"/>
  <c r="AB30" i="15" s="1"/>
  <c r="T30" i="15"/>
  <c r="S30" i="15"/>
  <c r="Y30" i="15" s="1"/>
  <c r="R30" i="15"/>
  <c r="P30" i="15"/>
  <c r="Q30" i="15" s="1"/>
  <c r="V30" i="15" s="1"/>
  <c r="Z29" i="15"/>
  <c r="Y29" i="15"/>
  <c r="X29" i="15"/>
  <c r="W29" i="15"/>
  <c r="U29" i="15"/>
  <c r="T29" i="15"/>
  <c r="S29" i="15"/>
  <c r="R29" i="15"/>
  <c r="Q29" i="15"/>
  <c r="V29" i="15" s="1"/>
  <c r="AA29" i="15" s="1"/>
  <c r="AB29" i="15" s="1"/>
  <c r="P29" i="15"/>
  <c r="Z28" i="15"/>
  <c r="Y28" i="15"/>
  <c r="W28" i="15"/>
  <c r="U28" i="15"/>
  <c r="T28" i="15"/>
  <c r="S28" i="15"/>
  <c r="R28" i="15"/>
  <c r="X28" i="15" s="1"/>
  <c r="P28" i="15"/>
  <c r="Q28" i="15" s="1"/>
  <c r="V28" i="15" s="1"/>
  <c r="Z27" i="15"/>
  <c r="X27" i="15"/>
  <c r="W27" i="15"/>
  <c r="U27" i="15"/>
  <c r="T27" i="15"/>
  <c r="S27" i="15"/>
  <c r="Y27" i="15" s="1"/>
  <c r="R27" i="15"/>
  <c r="Q27" i="15"/>
  <c r="V27" i="15" s="1"/>
  <c r="AA27" i="15" s="1"/>
  <c r="AB27" i="15" s="1"/>
  <c r="P27" i="15"/>
  <c r="Z26" i="15"/>
  <c r="Y26" i="15"/>
  <c r="W26" i="15"/>
  <c r="U26" i="15"/>
  <c r="T26" i="15"/>
  <c r="AA26" i="15" s="1"/>
  <c r="AB26" i="15" s="1"/>
  <c r="S26" i="15"/>
  <c r="R26" i="15"/>
  <c r="X26" i="15" s="1"/>
  <c r="Q26" i="15"/>
  <c r="V26" i="15" s="1"/>
  <c r="P26" i="15"/>
  <c r="Z25" i="15"/>
  <c r="X25" i="15"/>
  <c r="W25" i="15"/>
  <c r="U25" i="15"/>
  <c r="T25" i="15"/>
  <c r="S25" i="15"/>
  <c r="Y25" i="15" s="1"/>
  <c r="R25" i="15"/>
  <c r="P25" i="15"/>
  <c r="Q25" i="15" s="1"/>
  <c r="V25" i="15" s="1"/>
  <c r="Z24" i="15"/>
  <c r="Y24" i="15"/>
  <c r="W24" i="15"/>
  <c r="V24" i="15"/>
  <c r="U24" i="15"/>
  <c r="T24" i="15"/>
  <c r="S24" i="15"/>
  <c r="R24" i="15"/>
  <c r="X24" i="15" s="1"/>
  <c r="Q24" i="15"/>
  <c r="P24" i="15"/>
  <c r="Z23" i="15"/>
  <c r="W23" i="15"/>
  <c r="U23" i="15"/>
  <c r="T23" i="15"/>
  <c r="S23" i="15"/>
  <c r="Y23" i="15" s="1"/>
  <c r="R23" i="15"/>
  <c r="X23" i="15" s="1"/>
  <c r="Q23" i="15"/>
  <c r="V23" i="15" s="1"/>
  <c r="P23" i="15"/>
  <c r="Z22" i="15"/>
  <c r="X22" i="15"/>
  <c r="W22" i="15"/>
  <c r="V22" i="15"/>
  <c r="U22" i="15"/>
  <c r="T22" i="15"/>
  <c r="S22" i="15"/>
  <c r="Y22" i="15" s="1"/>
  <c r="R22" i="15"/>
  <c r="Q22" i="15"/>
  <c r="P22" i="15"/>
  <c r="Z21" i="15"/>
  <c r="Y21" i="15"/>
  <c r="W21" i="15"/>
  <c r="U21" i="15"/>
  <c r="T21" i="15"/>
  <c r="S21" i="15"/>
  <c r="R21" i="15"/>
  <c r="X21" i="15" s="1"/>
  <c r="P21" i="15"/>
  <c r="Q21" i="15" s="1"/>
  <c r="V21" i="15" s="1"/>
  <c r="Z20" i="15"/>
  <c r="X20" i="15"/>
  <c r="W20" i="15"/>
  <c r="U20" i="15"/>
  <c r="T20" i="15"/>
  <c r="S20" i="15"/>
  <c r="Y20" i="15" s="1"/>
  <c r="R20" i="15"/>
  <c r="Q20" i="15"/>
  <c r="V20" i="15" s="1"/>
  <c r="P20" i="15"/>
  <c r="Z19" i="15"/>
  <c r="Y19" i="15"/>
  <c r="W19" i="15"/>
  <c r="U19" i="15"/>
  <c r="T19" i="15"/>
  <c r="S19" i="15"/>
  <c r="R19" i="15"/>
  <c r="X19" i="15" s="1"/>
  <c r="P19" i="15"/>
  <c r="Q19" i="15" s="1"/>
  <c r="V19" i="15" s="1"/>
  <c r="AA19" i="15" s="1"/>
  <c r="AB19" i="15" s="1"/>
  <c r="Z18" i="15"/>
  <c r="X18" i="15"/>
  <c r="W18" i="15"/>
  <c r="U18" i="15"/>
  <c r="T18" i="15"/>
  <c r="S18" i="15"/>
  <c r="Y18" i="15" s="1"/>
  <c r="R18" i="15"/>
  <c r="P18" i="15"/>
  <c r="Q18" i="15" s="1"/>
  <c r="V18" i="15" s="1"/>
  <c r="Z17" i="15"/>
  <c r="Y17" i="15"/>
  <c r="X17" i="15"/>
  <c r="W17" i="15"/>
  <c r="U17" i="15"/>
  <c r="T17" i="15"/>
  <c r="S17" i="15"/>
  <c r="R17" i="15"/>
  <c r="Q17" i="15"/>
  <c r="V17" i="15" s="1"/>
  <c r="AA17" i="15" s="1"/>
  <c r="AB17" i="15" s="1"/>
  <c r="P17" i="15"/>
  <c r="Z16" i="15"/>
  <c r="Y16" i="15"/>
  <c r="W16" i="15"/>
  <c r="U16" i="15"/>
  <c r="T16" i="15"/>
  <c r="S16" i="15"/>
  <c r="R16" i="15"/>
  <c r="X16" i="15" s="1"/>
  <c r="P16" i="15"/>
  <c r="Q16" i="15" s="1"/>
  <c r="V16" i="15" s="1"/>
  <c r="Z15" i="15"/>
  <c r="X15" i="15"/>
  <c r="W15" i="15"/>
  <c r="U15" i="15"/>
  <c r="T15" i="15"/>
  <c r="S15" i="15"/>
  <c r="Y15" i="15" s="1"/>
  <c r="R15" i="15"/>
  <c r="Q15" i="15"/>
  <c r="V15" i="15" s="1"/>
  <c r="P15" i="15"/>
  <c r="Z14" i="15"/>
  <c r="Y14" i="15"/>
  <c r="W14" i="15"/>
  <c r="U14" i="15"/>
  <c r="T14" i="15"/>
  <c r="S14" i="15"/>
  <c r="R14" i="15"/>
  <c r="X14" i="15" s="1"/>
  <c r="Q14" i="15"/>
  <c r="V14" i="15" s="1"/>
  <c r="P14" i="15"/>
  <c r="Z13" i="15"/>
  <c r="X13" i="15"/>
  <c r="W13" i="15"/>
  <c r="U13" i="15"/>
  <c r="T13" i="15"/>
  <c r="S13" i="15"/>
  <c r="Y13" i="15" s="1"/>
  <c r="R13" i="15"/>
  <c r="P13" i="15"/>
  <c r="Q13" i="15" s="1"/>
  <c r="V13" i="15" s="1"/>
  <c r="Z12" i="15"/>
  <c r="Y12" i="15"/>
  <c r="W12" i="15"/>
  <c r="V12" i="15"/>
  <c r="U12" i="15"/>
  <c r="T12" i="15"/>
  <c r="S12" i="15"/>
  <c r="R12" i="15"/>
  <c r="X12" i="15" s="1"/>
  <c r="Q12" i="15"/>
  <c r="P12" i="15"/>
  <c r="Z11" i="15"/>
  <c r="W11" i="15"/>
  <c r="U11" i="15"/>
  <c r="T11" i="15"/>
  <c r="S11" i="15"/>
  <c r="Y11" i="15" s="1"/>
  <c r="R11" i="15"/>
  <c r="X11" i="15" s="1"/>
  <c r="Q11" i="15"/>
  <c r="V11" i="15" s="1"/>
  <c r="P11" i="15"/>
  <c r="Z10" i="15"/>
  <c r="X10" i="15"/>
  <c r="W10" i="15"/>
  <c r="V10" i="15"/>
  <c r="U10" i="15"/>
  <c r="T10" i="15"/>
  <c r="S10" i="15"/>
  <c r="Y10" i="15" s="1"/>
  <c r="R10" i="15"/>
  <c r="Q10" i="15"/>
  <c r="P10" i="15"/>
  <c r="Z9" i="15"/>
  <c r="Y9" i="15"/>
  <c r="W9" i="15"/>
  <c r="U9" i="15"/>
  <c r="T9" i="15"/>
  <c r="S9" i="15"/>
  <c r="R9" i="15"/>
  <c r="X9" i="15" s="1"/>
  <c r="P9" i="15"/>
  <c r="Q9" i="15" s="1"/>
  <c r="V9" i="15" s="1"/>
  <c r="Z8" i="15"/>
  <c r="X8" i="15"/>
  <c r="W8" i="15"/>
  <c r="U8" i="15"/>
  <c r="T8" i="15"/>
  <c r="S8" i="15"/>
  <c r="Y8" i="15" s="1"/>
  <c r="R8" i="15"/>
  <c r="Q8" i="15"/>
  <c r="V8" i="15" s="1"/>
  <c r="P8" i="15"/>
  <c r="Z7" i="15"/>
  <c r="Y7" i="15"/>
  <c r="W7" i="15"/>
  <c r="U7" i="15"/>
  <c r="T7" i="15"/>
  <c r="S7" i="15"/>
  <c r="R7" i="15"/>
  <c r="X7" i="15" s="1"/>
  <c r="P7" i="15"/>
  <c r="Q7" i="15" s="1"/>
  <c r="V7" i="15" s="1"/>
  <c r="Z6" i="15"/>
  <c r="X6" i="15"/>
  <c r="W6" i="15"/>
  <c r="U6" i="15"/>
  <c r="T6" i="15"/>
  <c r="S6" i="15"/>
  <c r="Y6" i="15" s="1"/>
  <c r="R6" i="15"/>
  <c r="P6" i="15"/>
  <c r="Q6" i="15" s="1"/>
  <c r="V6" i="15" s="1"/>
  <c r="Z5" i="15"/>
  <c r="Y5" i="15"/>
  <c r="X5" i="15"/>
  <c r="W5" i="15"/>
  <c r="U5" i="15"/>
  <c r="T5" i="15"/>
  <c r="S5" i="15"/>
  <c r="R5" i="15"/>
  <c r="Q5" i="15"/>
  <c r="V5" i="15" s="1"/>
  <c r="AA5" i="15" s="1"/>
  <c r="AB5" i="15" s="1"/>
  <c r="P5" i="15"/>
  <c r="Z4" i="15"/>
  <c r="Y4" i="15"/>
  <c r="W4" i="15"/>
  <c r="U4" i="15"/>
  <c r="AA4" i="15" s="1"/>
  <c r="AB4" i="15" s="1"/>
  <c r="T4" i="15"/>
  <c r="S4" i="15"/>
  <c r="R4" i="15"/>
  <c r="X4" i="15" s="1"/>
  <c r="P4" i="15"/>
  <c r="Q4" i="15" s="1"/>
  <c r="V4" i="15" s="1"/>
  <c r="Z3" i="15"/>
  <c r="X3" i="15"/>
  <c r="W3" i="15"/>
  <c r="U3" i="15"/>
  <c r="T3" i="15"/>
  <c r="S3" i="15"/>
  <c r="Y3" i="15" s="1"/>
  <c r="R3" i="15"/>
  <c r="Q3" i="15"/>
  <c r="V3" i="15" s="1"/>
  <c r="AA3" i="15" s="1"/>
  <c r="AB3" i="15" s="1"/>
  <c r="P3" i="15"/>
  <c r="Z35" i="14"/>
  <c r="W35" i="14"/>
  <c r="U35" i="14"/>
  <c r="T35" i="14"/>
  <c r="S35" i="14"/>
  <c r="Y35" i="14" s="1"/>
  <c r="R35" i="14"/>
  <c r="X35" i="14" s="1"/>
  <c r="Q35" i="14"/>
  <c r="V35" i="14" s="1"/>
  <c r="P35" i="14"/>
  <c r="Z34" i="14"/>
  <c r="W34" i="14"/>
  <c r="U34" i="14"/>
  <c r="T34" i="14"/>
  <c r="AA34" i="14" s="1"/>
  <c r="AB34" i="14" s="1"/>
  <c r="S34" i="14"/>
  <c r="Y34" i="14" s="1"/>
  <c r="R34" i="14"/>
  <c r="X34" i="14" s="1"/>
  <c r="P34" i="14"/>
  <c r="Q34" i="14" s="1"/>
  <c r="V34" i="14" s="1"/>
  <c r="Z33" i="14"/>
  <c r="X33" i="14"/>
  <c r="W33" i="14"/>
  <c r="U33" i="14"/>
  <c r="T33" i="14"/>
  <c r="S33" i="14"/>
  <c r="Y33" i="14" s="1"/>
  <c r="R33" i="14"/>
  <c r="P33" i="14"/>
  <c r="Q33" i="14" s="1"/>
  <c r="V33" i="14" s="1"/>
  <c r="Z32" i="14"/>
  <c r="Y32" i="14"/>
  <c r="X32" i="14"/>
  <c r="W32" i="14"/>
  <c r="U32" i="14"/>
  <c r="T32" i="14"/>
  <c r="S32" i="14"/>
  <c r="R32" i="14"/>
  <c r="P32" i="14"/>
  <c r="Q32" i="14" s="1"/>
  <c r="V32" i="14" s="1"/>
  <c r="Z31" i="14"/>
  <c r="Y31" i="14"/>
  <c r="X31" i="14"/>
  <c r="W31" i="14"/>
  <c r="U31" i="14"/>
  <c r="T31" i="14"/>
  <c r="S31" i="14"/>
  <c r="R31" i="14"/>
  <c r="P31" i="14"/>
  <c r="Q31" i="14" s="1"/>
  <c r="V31" i="14" s="1"/>
  <c r="Z30" i="14"/>
  <c r="Y30" i="14"/>
  <c r="X30" i="14"/>
  <c r="W30" i="14"/>
  <c r="V30" i="14"/>
  <c r="AA30" i="14" s="1"/>
  <c r="AB30" i="14" s="1"/>
  <c r="U30" i="14"/>
  <c r="T30" i="14"/>
  <c r="S30" i="14"/>
  <c r="R30" i="14"/>
  <c r="Q30" i="14"/>
  <c r="P30" i="14"/>
  <c r="Z29" i="14"/>
  <c r="Y29" i="14"/>
  <c r="X29" i="14"/>
  <c r="W29" i="14"/>
  <c r="U29" i="14"/>
  <c r="T29" i="14"/>
  <c r="S29" i="14"/>
  <c r="R29" i="14"/>
  <c r="P29" i="14"/>
  <c r="Q29" i="14" s="1"/>
  <c r="V29" i="14" s="1"/>
  <c r="AA29" i="14" s="1"/>
  <c r="AB29" i="14" s="1"/>
  <c r="Z28" i="14"/>
  <c r="Y28" i="14"/>
  <c r="X28" i="14"/>
  <c r="W28" i="14"/>
  <c r="U28" i="14"/>
  <c r="T28" i="14"/>
  <c r="S28" i="14"/>
  <c r="R28" i="14"/>
  <c r="P28" i="14"/>
  <c r="Q28" i="14" s="1"/>
  <c r="V28" i="14" s="1"/>
  <c r="AA28" i="14" s="1"/>
  <c r="AB28" i="14" s="1"/>
  <c r="Z27" i="14"/>
  <c r="Y27" i="14"/>
  <c r="W27" i="14"/>
  <c r="U27" i="14"/>
  <c r="T27" i="14"/>
  <c r="S27" i="14"/>
  <c r="R27" i="14"/>
  <c r="X27" i="14" s="1"/>
  <c r="P27" i="14"/>
  <c r="Q27" i="14" s="1"/>
  <c r="V27" i="14" s="1"/>
  <c r="Z26" i="14"/>
  <c r="W26" i="14"/>
  <c r="U26" i="14"/>
  <c r="T26" i="14"/>
  <c r="S26" i="14"/>
  <c r="Y26" i="14" s="1"/>
  <c r="R26" i="14"/>
  <c r="X26" i="14" s="1"/>
  <c r="Q26" i="14"/>
  <c r="V26" i="14" s="1"/>
  <c r="P26" i="14"/>
  <c r="Z25" i="14"/>
  <c r="W25" i="14"/>
  <c r="U25" i="14"/>
  <c r="T25" i="14"/>
  <c r="S25" i="14"/>
  <c r="Y25" i="14" s="1"/>
  <c r="R25" i="14"/>
  <c r="X25" i="14" s="1"/>
  <c r="P25" i="14"/>
  <c r="Q25" i="14" s="1"/>
  <c r="V25" i="14" s="1"/>
  <c r="AA25" i="14" s="1"/>
  <c r="AB25" i="14" s="1"/>
  <c r="Z24" i="14"/>
  <c r="W24" i="14"/>
  <c r="U24" i="14"/>
  <c r="T24" i="14"/>
  <c r="S24" i="14"/>
  <c r="Y24" i="14" s="1"/>
  <c r="R24" i="14"/>
  <c r="X24" i="14" s="1"/>
  <c r="Q24" i="14"/>
  <c r="V24" i="14" s="1"/>
  <c r="P24" i="14"/>
  <c r="Z23" i="14"/>
  <c r="W23" i="14"/>
  <c r="U23" i="14"/>
  <c r="T23" i="14"/>
  <c r="S23" i="14"/>
  <c r="Y23" i="14" s="1"/>
  <c r="R23" i="14"/>
  <c r="X23" i="14" s="1"/>
  <c r="Q23" i="14"/>
  <c r="V23" i="14" s="1"/>
  <c r="P23" i="14"/>
  <c r="Z22" i="14"/>
  <c r="W22" i="14"/>
  <c r="U22" i="14"/>
  <c r="T22" i="14"/>
  <c r="S22" i="14"/>
  <c r="Y22" i="14" s="1"/>
  <c r="R22" i="14"/>
  <c r="X22" i="14" s="1"/>
  <c r="P22" i="14"/>
  <c r="Q22" i="14" s="1"/>
  <c r="V22" i="14" s="1"/>
  <c r="Z21" i="14"/>
  <c r="X21" i="14"/>
  <c r="W21" i="14"/>
  <c r="U21" i="14"/>
  <c r="T21" i="14"/>
  <c r="S21" i="14"/>
  <c r="Y21" i="14" s="1"/>
  <c r="R21" i="14"/>
  <c r="P21" i="14"/>
  <c r="Q21" i="14" s="1"/>
  <c r="V21" i="14" s="1"/>
  <c r="Z20" i="14"/>
  <c r="Y20" i="14"/>
  <c r="X20" i="14"/>
  <c r="W20" i="14"/>
  <c r="V20" i="14"/>
  <c r="U20" i="14"/>
  <c r="T20" i="14"/>
  <c r="AA20" i="14" s="1"/>
  <c r="AB20" i="14" s="1"/>
  <c r="S20" i="14"/>
  <c r="R20" i="14"/>
  <c r="Q20" i="14"/>
  <c r="P20" i="14"/>
  <c r="Z19" i="14"/>
  <c r="Y19" i="14"/>
  <c r="X19" i="14"/>
  <c r="W19" i="14"/>
  <c r="U19" i="14"/>
  <c r="T19" i="14"/>
  <c r="S19" i="14"/>
  <c r="R19" i="14"/>
  <c r="P19" i="14"/>
  <c r="Q19" i="14" s="1"/>
  <c r="V19" i="14" s="1"/>
  <c r="Z18" i="14"/>
  <c r="Y18" i="14"/>
  <c r="X18" i="14"/>
  <c r="W18" i="14"/>
  <c r="V18" i="14"/>
  <c r="AA18" i="14" s="1"/>
  <c r="AB18" i="14" s="1"/>
  <c r="U18" i="14"/>
  <c r="T18" i="14"/>
  <c r="S18" i="14"/>
  <c r="R18" i="14"/>
  <c r="Q18" i="14"/>
  <c r="P18" i="14"/>
  <c r="Z17" i="14"/>
  <c r="Y17" i="14"/>
  <c r="X17" i="14"/>
  <c r="W17" i="14"/>
  <c r="U17" i="14"/>
  <c r="T17" i="14"/>
  <c r="S17" i="14"/>
  <c r="R17" i="14"/>
  <c r="P17" i="14"/>
  <c r="Q17" i="14" s="1"/>
  <c r="V17" i="14" s="1"/>
  <c r="AA17" i="14" s="1"/>
  <c r="AB17" i="14" s="1"/>
  <c r="Z16" i="14"/>
  <c r="Y16" i="14"/>
  <c r="X16" i="14"/>
  <c r="W16" i="14"/>
  <c r="U16" i="14"/>
  <c r="T16" i="14"/>
  <c r="S16" i="14"/>
  <c r="R16" i="14"/>
  <c r="P16" i="14"/>
  <c r="Q16" i="14" s="1"/>
  <c r="V16" i="14" s="1"/>
  <c r="AA16" i="14" s="1"/>
  <c r="AB16" i="14" s="1"/>
  <c r="Z15" i="14"/>
  <c r="Y15" i="14"/>
  <c r="W15" i="14"/>
  <c r="U15" i="14"/>
  <c r="T15" i="14"/>
  <c r="S15" i="14"/>
  <c r="R15" i="14"/>
  <c r="X15" i="14" s="1"/>
  <c r="P15" i="14"/>
  <c r="Q15" i="14" s="1"/>
  <c r="V15" i="14" s="1"/>
  <c r="Z14" i="14"/>
  <c r="W14" i="14"/>
  <c r="U14" i="14"/>
  <c r="T14" i="14"/>
  <c r="S14" i="14"/>
  <c r="Y14" i="14" s="1"/>
  <c r="R14" i="14"/>
  <c r="X14" i="14" s="1"/>
  <c r="Q14" i="14"/>
  <c r="V14" i="14" s="1"/>
  <c r="AA14" i="14" s="1"/>
  <c r="AB14" i="14" s="1"/>
  <c r="P14" i="14"/>
  <c r="Z13" i="14"/>
  <c r="W13" i="14"/>
  <c r="U13" i="14"/>
  <c r="T13" i="14"/>
  <c r="S13" i="14"/>
  <c r="Y13" i="14" s="1"/>
  <c r="R13" i="14"/>
  <c r="X13" i="14" s="1"/>
  <c r="P13" i="14"/>
  <c r="Q13" i="14" s="1"/>
  <c r="V13" i="14" s="1"/>
  <c r="AA13" i="14" s="1"/>
  <c r="AB13" i="14" s="1"/>
  <c r="Z12" i="14"/>
  <c r="W12" i="14"/>
  <c r="U12" i="14"/>
  <c r="T12" i="14"/>
  <c r="S12" i="14"/>
  <c r="Y12" i="14" s="1"/>
  <c r="R12" i="14"/>
  <c r="X12" i="14" s="1"/>
  <c r="Q12" i="14"/>
  <c r="V12" i="14" s="1"/>
  <c r="P12" i="14"/>
  <c r="Z11" i="14"/>
  <c r="W11" i="14"/>
  <c r="U11" i="14"/>
  <c r="T11" i="14"/>
  <c r="S11" i="14"/>
  <c r="Y11" i="14" s="1"/>
  <c r="R11" i="14"/>
  <c r="X11" i="14" s="1"/>
  <c r="Q11" i="14"/>
  <c r="V11" i="14" s="1"/>
  <c r="P11" i="14"/>
  <c r="Z10" i="14"/>
  <c r="W10" i="14"/>
  <c r="U10" i="14"/>
  <c r="T10" i="14"/>
  <c r="AA10" i="14" s="1"/>
  <c r="AB10" i="14" s="1"/>
  <c r="S10" i="14"/>
  <c r="Y10" i="14" s="1"/>
  <c r="R10" i="14"/>
  <c r="X10" i="14" s="1"/>
  <c r="P10" i="14"/>
  <c r="Q10" i="14" s="1"/>
  <c r="V10" i="14" s="1"/>
  <c r="Z9" i="14"/>
  <c r="X9" i="14"/>
  <c r="W9" i="14"/>
  <c r="V9" i="14"/>
  <c r="U9" i="14"/>
  <c r="T9" i="14"/>
  <c r="S9" i="14"/>
  <c r="Y9" i="14" s="1"/>
  <c r="R9" i="14"/>
  <c r="Q9" i="14"/>
  <c r="P9" i="14"/>
  <c r="Z8" i="14"/>
  <c r="Y8" i="14"/>
  <c r="X8" i="14"/>
  <c r="W8" i="14"/>
  <c r="V8" i="14"/>
  <c r="U8" i="14"/>
  <c r="T8" i="14"/>
  <c r="AA8" i="14" s="1"/>
  <c r="AB8" i="14" s="1"/>
  <c r="S8" i="14"/>
  <c r="R8" i="14"/>
  <c r="Q8" i="14"/>
  <c r="P8" i="14"/>
  <c r="Z7" i="14"/>
  <c r="Y7" i="14"/>
  <c r="X7" i="14"/>
  <c r="W7" i="14"/>
  <c r="U7" i="14"/>
  <c r="T7" i="14"/>
  <c r="S7" i="14"/>
  <c r="R7" i="14"/>
  <c r="P7" i="14"/>
  <c r="Q7" i="14" s="1"/>
  <c r="V7" i="14" s="1"/>
  <c r="Z6" i="14"/>
  <c r="Y6" i="14"/>
  <c r="X6" i="14"/>
  <c r="W6" i="14"/>
  <c r="V6" i="14"/>
  <c r="AA6" i="14" s="1"/>
  <c r="AB6" i="14" s="1"/>
  <c r="U6" i="14"/>
  <c r="T6" i="14"/>
  <c r="S6" i="14"/>
  <c r="R6" i="14"/>
  <c r="Q6" i="14"/>
  <c r="P6" i="14"/>
  <c r="Z5" i="14"/>
  <c r="Y5" i="14"/>
  <c r="X5" i="14"/>
  <c r="W5" i="14"/>
  <c r="U5" i="14"/>
  <c r="T5" i="14"/>
  <c r="S5" i="14"/>
  <c r="R5" i="14"/>
  <c r="Q5" i="14"/>
  <c r="V5" i="14" s="1"/>
  <c r="AA5" i="14" s="1"/>
  <c r="AB5" i="14" s="1"/>
  <c r="P5" i="14"/>
  <c r="Z4" i="14"/>
  <c r="Y4" i="14"/>
  <c r="X4" i="14"/>
  <c r="W4" i="14"/>
  <c r="U4" i="14"/>
  <c r="T4" i="14"/>
  <c r="S4" i="14"/>
  <c r="R4" i="14"/>
  <c r="P4" i="14"/>
  <c r="Q4" i="14" s="1"/>
  <c r="V4" i="14" s="1"/>
  <c r="AA4" i="14" s="1"/>
  <c r="AB4" i="14" s="1"/>
  <c r="Z3" i="14"/>
  <c r="Y3" i="14"/>
  <c r="W3" i="14"/>
  <c r="U3" i="14"/>
  <c r="T3" i="14"/>
  <c r="S3" i="14"/>
  <c r="R3" i="14"/>
  <c r="X3" i="14" s="1"/>
  <c r="P3" i="14"/>
  <c r="Q3" i="14" s="1"/>
  <c r="V3" i="14" s="1"/>
  <c r="AA3" i="14" s="1"/>
  <c r="AB3" i="14" s="1"/>
  <c r="Z9" i="13"/>
  <c r="W9" i="13"/>
  <c r="U9" i="13"/>
  <c r="T9" i="13"/>
  <c r="S9" i="13"/>
  <c r="Y9" i="13" s="1"/>
  <c r="R9" i="13"/>
  <c r="X9" i="13" s="1"/>
  <c r="P9" i="13"/>
  <c r="Q9" i="13" s="1"/>
  <c r="V9" i="13" s="1"/>
  <c r="Z18" i="13"/>
  <c r="W18" i="13"/>
  <c r="U18" i="13"/>
  <c r="T18" i="13"/>
  <c r="S18" i="13"/>
  <c r="Y18" i="13" s="1"/>
  <c r="R18" i="13"/>
  <c r="X18" i="13" s="1"/>
  <c r="P18" i="13"/>
  <c r="Q18" i="13" s="1"/>
  <c r="V18" i="13" s="1"/>
  <c r="Z13" i="13"/>
  <c r="W13" i="13"/>
  <c r="U13" i="13"/>
  <c r="T13" i="13"/>
  <c r="S13" i="13"/>
  <c r="Y13" i="13" s="1"/>
  <c r="R13" i="13"/>
  <c r="X13" i="13" s="1"/>
  <c r="P13" i="13"/>
  <c r="Q13" i="13" s="1"/>
  <c r="V13" i="13" s="1"/>
  <c r="Z12" i="13"/>
  <c r="Y12" i="13"/>
  <c r="W12" i="13"/>
  <c r="U12" i="13"/>
  <c r="T12" i="13"/>
  <c r="S12" i="13"/>
  <c r="R12" i="13"/>
  <c r="X12" i="13" s="1"/>
  <c r="P12" i="13"/>
  <c r="Q12" i="13" s="1"/>
  <c r="V12" i="13" s="1"/>
  <c r="Z33" i="13"/>
  <c r="Y33" i="13"/>
  <c r="X33" i="13"/>
  <c r="W33" i="13"/>
  <c r="U33" i="13"/>
  <c r="T33" i="13"/>
  <c r="S33" i="13"/>
  <c r="R33" i="13"/>
  <c r="P33" i="13"/>
  <c r="Q33" i="13" s="1"/>
  <c r="V33" i="13" s="1"/>
  <c r="Z3" i="13"/>
  <c r="Y3" i="13"/>
  <c r="W3" i="13"/>
  <c r="U3" i="13"/>
  <c r="T3" i="13"/>
  <c r="S3" i="13"/>
  <c r="R3" i="13"/>
  <c r="X3" i="13" s="1"/>
  <c r="P3" i="13"/>
  <c r="Q3" i="13" s="1"/>
  <c r="V3" i="13" s="1"/>
  <c r="Z16" i="13"/>
  <c r="W16" i="13"/>
  <c r="U16" i="13"/>
  <c r="T16" i="13"/>
  <c r="S16" i="13"/>
  <c r="Y16" i="13" s="1"/>
  <c r="R16" i="13"/>
  <c r="X16" i="13" s="1"/>
  <c r="P16" i="13"/>
  <c r="Q16" i="13" s="1"/>
  <c r="V16" i="13" s="1"/>
  <c r="Z14" i="13"/>
  <c r="Y14" i="13"/>
  <c r="W14" i="13"/>
  <c r="U14" i="13"/>
  <c r="T14" i="13"/>
  <c r="S14" i="13"/>
  <c r="R14" i="13"/>
  <c r="X14" i="13" s="1"/>
  <c r="P14" i="13"/>
  <c r="Q14" i="13" s="1"/>
  <c r="V14" i="13" s="1"/>
  <c r="AA14" i="13" s="1"/>
  <c r="AB14" i="13" s="1"/>
  <c r="Z4" i="13"/>
  <c r="Y4" i="13"/>
  <c r="W4" i="13"/>
  <c r="U4" i="13"/>
  <c r="T4" i="13"/>
  <c r="S4" i="13"/>
  <c r="R4" i="13"/>
  <c r="X4" i="13" s="1"/>
  <c r="P4" i="13"/>
  <c r="Q4" i="13" s="1"/>
  <c r="V4" i="13" s="1"/>
  <c r="Z31" i="13"/>
  <c r="W31" i="13"/>
  <c r="U31" i="13"/>
  <c r="T31" i="13"/>
  <c r="S31" i="13"/>
  <c r="Y31" i="13" s="1"/>
  <c r="R31" i="13"/>
  <c r="X31" i="13" s="1"/>
  <c r="P31" i="13"/>
  <c r="Q31" i="13" s="1"/>
  <c r="V31" i="13" s="1"/>
  <c r="Z27" i="13"/>
  <c r="W27" i="13"/>
  <c r="U27" i="13"/>
  <c r="T27" i="13"/>
  <c r="S27" i="13"/>
  <c r="Y27" i="13" s="1"/>
  <c r="R27" i="13"/>
  <c r="X27" i="13" s="1"/>
  <c r="P27" i="13"/>
  <c r="Q27" i="13" s="1"/>
  <c r="V27" i="13" s="1"/>
  <c r="Z11" i="13"/>
  <c r="W11" i="13"/>
  <c r="U11" i="13"/>
  <c r="T11" i="13"/>
  <c r="S11" i="13"/>
  <c r="Y11" i="13" s="1"/>
  <c r="R11" i="13"/>
  <c r="X11" i="13" s="1"/>
  <c r="Q11" i="13"/>
  <c r="V11" i="13" s="1"/>
  <c r="P11" i="13"/>
  <c r="Z23" i="13"/>
  <c r="W23" i="13"/>
  <c r="U23" i="13"/>
  <c r="T23" i="13"/>
  <c r="S23" i="13"/>
  <c r="Y23" i="13" s="1"/>
  <c r="R23" i="13"/>
  <c r="X23" i="13" s="1"/>
  <c r="P23" i="13"/>
  <c r="Q23" i="13" s="1"/>
  <c r="V23" i="13" s="1"/>
  <c r="Z8" i="13"/>
  <c r="W8" i="13"/>
  <c r="U8" i="13"/>
  <c r="T8" i="13"/>
  <c r="S8" i="13"/>
  <c r="Y8" i="13" s="1"/>
  <c r="R8" i="13"/>
  <c r="X8" i="13" s="1"/>
  <c r="Q8" i="13"/>
  <c r="V8" i="13" s="1"/>
  <c r="P8" i="13"/>
  <c r="Z21" i="13"/>
  <c r="X21" i="13"/>
  <c r="W21" i="13"/>
  <c r="U21" i="13"/>
  <c r="T21" i="13"/>
  <c r="S21" i="13"/>
  <c r="Y21" i="13" s="1"/>
  <c r="R21" i="13"/>
  <c r="P21" i="13"/>
  <c r="Q21" i="13" s="1"/>
  <c r="V21" i="13" s="1"/>
  <c r="Z17" i="13"/>
  <c r="X17" i="13"/>
  <c r="W17" i="13"/>
  <c r="U17" i="13"/>
  <c r="T17" i="13"/>
  <c r="S17" i="13"/>
  <c r="Y17" i="13" s="1"/>
  <c r="R17" i="13"/>
  <c r="P17" i="13"/>
  <c r="Q17" i="13" s="1"/>
  <c r="V17" i="13" s="1"/>
  <c r="Z28" i="13"/>
  <c r="W28" i="13"/>
  <c r="U28" i="13"/>
  <c r="T28" i="13"/>
  <c r="S28" i="13"/>
  <c r="Y28" i="13" s="1"/>
  <c r="R28" i="13"/>
  <c r="X28" i="13" s="1"/>
  <c r="P28" i="13"/>
  <c r="Q28" i="13" s="1"/>
  <c r="V28" i="13" s="1"/>
  <c r="Z5" i="13"/>
  <c r="X5" i="13"/>
  <c r="W5" i="13"/>
  <c r="U5" i="13"/>
  <c r="T5" i="13"/>
  <c r="S5" i="13"/>
  <c r="Y5" i="13" s="1"/>
  <c r="R5" i="13"/>
  <c r="P5" i="13"/>
  <c r="Q5" i="13" s="1"/>
  <c r="V5" i="13" s="1"/>
  <c r="Z26" i="13"/>
  <c r="Y26" i="13"/>
  <c r="X26" i="13"/>
  <c r="W26" i="13"/>
  <c r="U26" i="13"/>
  <c r="T26" i="13"/>
  <c r="S26" i="13"/>
  <c r="R26" i="13"/>
  <c r="P26" i="13"/>
  <c r="Q26" i="13" s="1"/>
  <c r="V26" i="13" s="1"/>
  <c r="Z22" i="13"/>
  <c r="X22" i="13"/>
  <c r="W22" i="13"/>
  <c r="U22" i="13"/>
  <c r="T22" i="13"/>
  <c r="S22" i="13"/>
  <c r="Y22" i="13" s="1"/>
  <c r="R22" i="13"/>
  <c r="P22" i="13"/>
  <c r="Q22" i="13" s="1"/>
  <c r="V22" i="13" s="1"/>
  <c r="Z25" i="13"/>
  <c r="W25" i="13"/>
  <c r="U25" i="13"/>
  <c r="T25" i="13"/>
  <c r="S25" i="13"/>
  <c r="Y25" i="13" s="1"/>
  <c r="R25" i="13"/>
  <c r="X25" i="13" s="1"/>
  <c r="P25" i="13"/>
  <c r="Q25" i="13" s="1"/>
  <c r="V25" i="13" s="1"/>
  <c r="Z30" i="13"/>
  <c r="W30" i="13"/>
  <c r="U30" i="13"/>
  <c r="T30" i="13"/>
  <c r="S30" i="13"/>
  <c r="Y30" i="13" s="1"/>
  <c r="R30" i="13"/>
  <c r="X30" i="13" s="1"/>
  <c r="P30" i="13"/>
  <c r="Q30" i="13" s="1"/>
  <c r="V30" i="13" s="1"/>
  <c r="Z7" i="13"/>
  <c r="W7" i="13"/>
  <c r="U7" i="13"/>
  <c r="T7" i="13"/>
  <c r="S7" i="13"/>
  <c r="Y7" i="13" s="1"/>
  <c r="R7" i="13"/>
  <c r="X7" i="13" s="1"/>
  <c r="P7" i="13"/>
  <c r="Q7" i="13" s="1"/>
  <c r="V7" i="13" s="1"/>
  <c r="Z10" i="13"/>
  <c r="W10" i="13"/>
  <c r="U10" i="13"/>
  <c r="T10" i="13"/>
  <c r="S10" i="13"/>
  <c r="Y10" i="13" s="1"/>
  <c r="R10" i="13"/>
  <c r="X10" i="13" s="1"/>
  <c r="P10" i="13"/>
  <c r="Q10" i="13" s="1"/>
  <c r="V10" i="13" s="1"/>
  <c r="Z35" i="13"/>
  <c r="W35" i="13"/>
  <c r="U35" i="13"/>
  <c r="T35" i="13"/>
  <c r="S35" i="13"/>
  <c r="Y35" i="13" s="1"/>
  <c r="R35" i="13"/>
  <c r="X35" i="13" s="1"/>
  <c r="Q35" i="13"/>
  <c r="V35" i="13" s="1"/>
  <c r="P35" i="13"/>
  <c r="Z32" i="13"/>
  <c r="W32" i="13"/>
  <c r="U32" i="13"/>
  <c r="T32" i="13"/>
  <c r="S32" i="13"/>
  <c r="Y32" i="13" s="1"/>
  <c r="R32" i="13"/>
  <c r="X32" i="13" s="1"/>
  <c r="Q32" i="13"/>
  <c r="V32" i="13" s="1"/>
  <c r="P32" i="13"/>
  <c r="Z34" i="13"/>
  <c r="W34" i="13"/>
  <c r="U34" i="13"/>
  <c r="T34" i="13"/>
  <c r="S34" i="13"/>
  <c r="Y34" i="13" s="1"/>
  <c r="R34" i="13"/>
  <c r="X34" i="13" s="1"/>
  <c r="P34" i="13"/>
  <c r="Q34" i="13" s="1"/>
  <c r="V34" i="13" s="1"/>
  <c r="Z29" i="13"/>
  <c r="Y29" i="13"/>
  <c r="X29" i="13"/>
  <c r="W29" i="13"/>
  <c r="U29" i="13"/>
  <c r="T29" i="13"/>
  <c r="S29" i="13"/>
  <c r="R29" i="13"/>
  <c r="P29" i="13"/>
  <c r="Q29" i="13" s="1"/>
  <c r="V29" i="13" s="1"/>
  <c r="Z24" i="13"/>
  <c r="Y24" i="13"/>
  <c r="W24" i="13"/>
  <c r="U24" i="13"/>
  <c r="T24" i="13"/>
  <c r="S24" i="13"/>
  <c r="R24" i="13"/>
  <c r="X24" i="13" s="1"/>
  <c r="P24" i="13"/>
  <c r="Q24" i="13" s="1"/>
  <c r="V24" i="13" s="1"/>
  <c r="Z19" i="13"/>
  <c r="W19" i="13"/>
  <c r="U19" i="13"/>
  <c r="T19" i="13"/>
  <c r="S19" i="13"/>
  <c r="Y19" i="13" s="1"/>
  <c r="R19" i="13"/>
  <c r="X19" i="13" s="1"/>
  <c r="P19" i="13"/>
  <c r="Q19" i="13" s="1"/>
  <c r="V19" i="13" s="1"/>
  <c r="Z6" i="13"/>
  <c r="Y6" i="13"/>
  <c r="W6" i="13"/>
  <c r="U6" i="13"/>
  <c r="T6" i="13"/>
  <c r="S6" i="13"/>
  <c r="R6" i="13"/>
  <c r="X6" i="13" s="1"/>
  <c r="P6" i="13"/>
  <c r="Q6" i="13" s="1"/>
  <c r="V6" i="13" s="1"/>
  <c r="Z15" i="13"/>
  <c r="Y15" i="13"/>
  <c r="X15" i="13"/>
  <c r="W15" i="13"/>
  <c r="U15" i="13"/>
  <c r="T15" i="13"/>
  <c r="S15" i="13"/>
  <c r="R15" i="13"/>
  <c r="P15" i="13"/>
  <c r="Q15" i="13" s="1"/>
  <c r="V15" i="13" s="1"/>
  <c r="Z20" i="13"/>
  <c r="W20" i="13"/>
  <c r="U20" i="13"/>
  <c r="T20" i="13"/>
  <c r="S20" i="13"/>
  <c r="Y20" i="13" s="1"/>
  <c r="R20" i="13"/>
  <c r="X20" i="13" s="1"/>
  <c r="P20" i="13"/>
  <c r="Q20" i="13" s="1"/>
  <c r="V20" i="13" s="1"/>
  <c r="Z33" i="12"/>
  <c r="W33" i="12"/>
  <c r="U33" i="12"/>
  <c r="T33" i="12"/>
  <c r="S33" i="12"/>
  <c r="Y33" i="12" s="1"/>
  <c r="R33" i="12"/>
  <c r="X33" i="12" s="1"/>
  <c r="P33" i="12"/>
  <c r="Q33" i="12" s="1"/>
  <c r="V33" i="12" s="1"/>
  <c r="Z18" i="12"/>
  <c r="W18" i="12"/>
  <c r="U18" i="12"/>
  <c r="T18" i="12"/>
  <c r="S18" i="12"/>
  <c r="Y18" i="12" s="1"/>
  <c r="R18" i="12"/>
  <c r="X18" i="12" s="1"/>
  <c r="P18" i="12"/>
  <c r="Q18" i="12" s="1"/>
  <c r="V18" i="12" s="1"/>
  <c r="Z14" i="12"/>
  <c r="W14" i="12"/>
  <c r="U14" i="12"/>
  <c r="T14" i="12"/>
  <c r="S14" i="12"/>
  <c r="Y14" i="12" s="1"/>
  <c r="R14" i="12"/>
  <c r="X14" i="12" s="1"/>
  <c r="P14" i="12"/>
  <c r="Q14" i="12" s="1"/>
  <c r="V14" i="12" s="1"/>
  <c r="Z16" i="12"/>
  <c r="W16" i="12"/>
  <c r="U16" i="12"/>
  <c r="T16" i="12"/>
  <c r="S16" i="12"/>
  <c r="Y16" i="12" s="1"/>
  <c r="R16" i="12"/>
  <c r="X16" i="12" s="1"/>
  <c r="P16" i="12"/>
  <c r="Q16" i="12" s="1"/>
  <c r="V16" i="12" s="1"/>
  <c r="Z27" i="12"/>
  <c r="Y27" i="12"/>
  <c r="W27" i="12"/>
  <c r="U27" i="12"/>
  <c r="T27" i="12"/>
  <c r="S27" i="12"/>
  <c r="R27" i="12"/>
  <c r="X27" i="12" s="1"/>
  <c r="P27" i="12"/>
  <c r="Q27" i="12" s="1"/>
  <c r="V27" i="12" s="1"/>
  <c r="Z20" i="12"/>
  <c r="Y20" i="12"/>
  <c r="X20" i="12"/>
  <c r="W20" i="12"/>
  <c r="U20" i="12"/>
  <c r="T20" i="12"/>
  <c r="S20" i="12"/>
  <c r="R20" i="12"/>
  <c r="P20" i="12"/>
  <c r="Q20" i="12" s="1"/>
  <c r="V20" i="12" s="1"/>
  <c r="Z12" i="12"/>
  <c r="Y12" i="12"/>
  <c r="X12" i="12"/>
  <c r="W12" i="12"/>
  <c r="U12" i="12"/>
  <c r="T12" i="12"/>
  <c r="S12" i="12"/>
  <c r="R12" i="12"/>
  <c r="P12" i="12"/>
  <c r="Q12" i="12" s="1"/>
  <c r="V12" i="12" s="1"/>
  <c r="AA12" i="12" s="1"/>
  <c r="AB12" i="12" s="1"/>
  <c r="Z21" i="12"/>
  <c r="W21" i="12"/>
  <c r="U21" i="12"/>
  <c r="T21" i="12"/>
  <c r="S21" i="12"/>
  <c r="Y21" i="12" s="1"/>
  <c r="R21" i="12"/>
  <c r="X21" i="12" s="1"/>
  <c r="P21" i="12"/>
  <c r="Q21" i="12" s="1"/>
  <c r="V21" i="12" s="1"/>
  <c r="Z32" i="12"/>
  <c r="W32" i="12"/>
  <c r="U32" i="12"/>
  <c r="T32" i="12"/>
  <c r="S32" i="12"/>
  <c r="Y32" i="12" s="1"/>
  <c r="R32" i="12"/>
  <c r="X32" i="12" s="1"/>
  <c r="P32" i="12"/>
  <c r="Q32" i="12" s="1"/>
  <c r="V32" i="12" s="1"/>
  <c r="Z25" i="12"/>
  <c r="W25" i="12"/>
  <c r="U25" i="12"/>
  <c r="T25" i="12"/>
  <c r="S25" i="12"/>
  <c r="Y25" i="12" s="1"/>
  <c r="R25" i="12"/>
  <c r="X25" i="12" s="1"/>
  <c r="P25" i="12"/>
  <c r="Q25" i="12" s="1"/>
  <c r="V25" i="12" s="1"/>
  <c r="Z23" i="12"/>
  <c r="W23" i="12"/>
  <c r="U23" i="12"/>
  <c r="T23" i="12"/>
  <c r="S23" i="12"/>
  <c r="Y23" i="12" s="1"/>
  <c r="R23" i="12"/>
  <c r="X23" i="12" s="1"/>
  <c r="P23" i="12"/>
  <c r="Q23" i="12" s="1"/>
  <c r="V23" i="12" s="1"/>
  <c r="AA23" i="12" s="1"/>
  <c r="AB23" i="12" s="1"/>
  <c r="Z10" i="12"/>
  <c r="W10" i="12"/>
  <c r="U10" i="12"/>
  <c r="T10" i="12"/>
  <c r="S10" i="12"/>
  <c r="Y10" i="12" s="1"/>
  <c r="R10" i="12"/>
  <c r="X10" i="12" s="1"/>
  <c r="Q10" i="12"/>
  <c r="V10" i="12" s="1"/>
  <c r="P10" i="12"/>
  <c r="Z11" i="12"/>
  <c r="W11" i="12"/>
  <c r="U11" i="12"/>
  <c r="T11" i="12"/>
  <c r="S11" i="12"/>
  <c r="Y11" i="12" s="1"/>
  <c r="R11" i="12"/>
  <c r="X11" i="12" s="1"/>
  <c r="Q11" i="12"/>
  <c r="V11" i="12" s="1"/>
  <c r="P11" i="12"/>
  <c r="Z4" i="12"/>
  <c r="W4" i="12"/>
  <c r="U4" i="12"/>
  <c r="T4" i="12"/>
  <c r="S4" i="12"/>
  <c r="Y4" i="12" s="1"/>
  <c r="R4" i="12"/>
  <c r="X4" i="12" s="1"/>
  <c r="P4" i="12"/>
  <c r="Q4" i="12" s="1"/>
  <c r="V4" i="12" s="1"/>
  <c r="Z8" i="12"/>
  <c r="X8" i="12"/>
  <c r="W8" i="12"/>
  <c r="U8" i="12"/>
  <c r="T8" i="12"/>
  <c r="S8" i="12"/>
  <c r="Y8" i="12" s="1"/>
  <c r="R8" i="12"/>
  <c r="P8" i="12"/>
  <c r="Q8" i="12" s="1"/>
  <c r="V8" i="12" s="1"/>
  <c r="Z29" i="12"/>
  <c r="Y29" i="12"/>
  <c r="X29" i="12"/>
  <c r="W29" i="12"/>
  <c r="U29" i="12"/>
  <c r="T29" i="12"/>
  <c r="S29" i="12"/>
  <c r="R29" i="12"/>
  <c r="P29" i="12"/>
  <c r="Q29" i="12" s="1"/>
  <c r="V29" i="12" s="1"/>
  <c r="Z26" i="12"/>
  <c r="X26" i="12"/>
  <c r="W26" i="12"/>
  <c r="U26" i="12"/>
  <c r="T26" i="12"/>
  <c r="S26" i="12"/>
  <c r="Y26" i="12" s="1"/>
  <c r="R26" i="12"/>
  <c r="P26" i="12"/>
  <c r="Q26" i="12" s="1"/>
  <c r="V26" i="12" s="1"/>
  <c r="Z5" i="12"/>
  <c r="W5" i="12"/>
  <c r="U5" i="12"/>
  <c r="T5" i="12"/>
  <c r="S5" i="12"/>
  <c r="Y5" i="12" s="1"/>
  <c r="R5" i="12"/>
  <c r="X5" i="12" s="1"/>
  <c r="P5" i="12"/>
  <c r="Q5" i="12" s="1"/>
  <c r="V5" i="12" s="1"/>
  <c r="Z7" i="12"/>
  <c r="W7" i="12"/>
  <c r="U7" i="12"/>
  <c r="T7" i="12"/>
  <c r="S7" i="12"/>
  <c r="Y7" i="12" s="1"/>
  <c r="R7" i="12"/>
  <c r="X7" i="12" s="1"/>
  <c r="P7" i="12"/>
  <c r="Q7" i="12" s="1"/>
  <c r="V7" i="12" s="1"/>
  <c r="Z19" i="12"/>
  <c r="Y19" i="12"/>
  <c r="X19" i="12"/>
  <c r="W19" i="12"/>
  <c r="U19" i="12"/>
  <c r="T19" i="12"/>
  <c r="S19" i="12"/>
  <c r="R19" i="12"/>
  <c r="P19" i="12"/>
  <c r="Q19" i="12" s="1"/>
  <c r="V19" i="12" s="1"/>
  <c r="Z30" i="12"/>
  <c r="Y30" i="12"/>
  <c r="W30" i="12"/>
  <c r="U30" i="12"/>
  <c r="T30" i="12"/>
  <c r="S30" i="12"/>
  <c r="R30" i="12"/>
  <c r="X30" i="12" s="1"/>
  <c r="P30" i="12"/>
  <c r="Q30" i="12" s="1"/>
  <c r="V30" i="12" s="1"/>
  <c r="Z3" i="12"/>
  <c r="W3" i="12"/>
  <c r="U3" i="12"/>
  <c r="T3" i="12"/>
  <c r="S3" i="12"/>
  <c r="Y3" i="12" s="1"/>
  <c r="R3" i="12"/>
  <c r="X3" i="12" s="1"/>
  <c r="P3" i="12"/>
  <c r="Q3" i="12" s="1"/>
  <c r="V3" i="12" s="1"/>
  <c r="AA3" i="12" s="1"/>
  <c r="AB3" i="12" s="1"/>
  <c r="Z6" i="12"/>
  <c r="W6" i="12"/>
  <c r="U6" i="12"/>
  <c r="T6" i="12"/>
  <c r="S6" i="12"/>
  <c r="Y6" i="12" s="1"/>
  <c r="R6" i="12"/>
  <c r="X6" i="12" s="1"/>
  <c r="P6" i="12"/>
  <c r="Q6" i="12" s="1"/>
  <c r="V6" i="12" s="1"/>
  <c r="Z9" i="12"/>
  <c r="W9" i="12"/>
  <c r="U9" i="12"/>
  <c r="T9" i="12"/>
  <c r="S9" i="12"/>
  <c r="Y9" i="12" s="1"/>
  <c r="R9" i="12"/>
  <c r="X9" i="12" s="1"/>
  <c r="P9" i="12"/>
  <c r="Q9" i="12" s="1"/>
  <c r="V9" i="12" s="1"/>
  <c r="Z17" i="12"/>
  <c r="W17" i="12"/>
  <c r="U17" i="12"/>
  <c r="T17" i="12"/>
  <c r="S17" i="12"/>
  <c r="Y17" i="12" s="1"/>
  <c r="R17" i="12"/>
  <c r="X17" i="12" s="1"/>
  <c r="Q17" i="12"/>
  <c r="V17" i="12" s="1"/>
  <c r="P17" i="12"/>
  <c r="Z35" i="12"/>
  <c r="W35" i="12"/>
  <c r="V35" i="12"/>
  <c r="U35" i="12"/>
  <c r="T35" i="12"/>
  <c r="S35" i="12"/>
  <c r="Y35" i="12" s="1"/>
  <c r="R35" i="12"/>
  <c r="X35" i="12" s="1"/>
  <c r="Q35" i="12"/>
  <c r="P35" i="12"/>
  <c r="Z24" i="12"/>
  <c r="X24" i="12"/>
  <c r="W24" i="12"/>
  <c r="U24" i="12"/>
  <c r="T24" i="12"/>
  <c r="S24" i="12"/>
  <c r="Y24" i="12" s="1"/>
  <c r="R24" i="12"/>
  <c r="P24" i="12"/>
  <c r="Q24" i="12" s="1"/>
  <c r="V24" i="12" s="1"/>
  <c r="Z31" i="12"/>
  <c r="W31" i="12"/>
  <c r="U31" i="12"/>
  <c r="T31" i="12"/>
  <c r="S31" i="12"/>
  <c r="Y31" i="12" s="1"/>
  <c r="R31" i="12"/>
  <c r="X31" i="12" s="1"/>
  <c r="P31" i="12"/>
  <c r="Q31" i="12" s="1"/>
  <c r="V31" i="12" s="1"/>
  <c r="Z22" i="12"/>
  <c r="W22" i="12"/>
  <c r="U22" i="12"/>
  <c r="T22" i="12"/>
  <c r="S22" i="12"/>
  <c r="Y22" i="12" s="1"/>
  <c r="R22" i="12"/>
  <c r="X22" i="12" s="1"/>
  <c r="P22" i="12"/>
  <c r="Q22" i="12" s="1"/>
  <c r="V22" i="12" s="1"/>
  <c r="Z15" i="12"/>
  <c r="Y15" i="12"/>
  <c r="X15" i="12"/>
  <c r="W15" i="12"/>
  <c r="U15" i="12"/>
  <c r="T15" i="12"/>
  <c r="S15" i="12"/>
  <c r="R15" i="12"/>
  <c r="P15" i="12"/>
  <c r="Q15" i="12" s="1"/>
  <c r="V15" i="12" s="1"/>
  <c r="Z28" i="12"/>
  <c r="Y28" i="12"/>
  <c r="X28" i="12"/>
  <c r="W28" i="12"/>
  <c r="U28" i="12"/>
  <c r="T28" i="12"/>
  <c r="S28" i="12"/>
  <c r="R28" i="12"/>
  <c r="Q28" i="12"/>
  <c r="V28" i="12" s="1"/>
  <c r="P28" i="12"/>
  <c r="Z13" i="12"/>
  <c r="Y13" i="12"/>
  <c r="X13" i="12"/>
  <c r="W13" i="12"/>
  <c r="U13" i="12"/>
  <c r="T13" i="12"/>
  <c r="S13" i="12"/>
  <c r="R13" i="12"/>
  <c r="P13" i="12"/>
  <c r="Q13" i="12" s="1"/>
  <c r="V13" i="12" s="1"/>
  <c r="Z34" i="12"/>
  <c r="W34" i="12"/>
  <c r="U34" i="12"/>
  <c r="T34" i="12"/>
  <c r="S34" i="12"/>
  <c r="Y34" i="12" s="1"/>
  <c r="R34" i="12"/>
  <c r="X34" i="12" s="1"/>
  <c r="P34" i="12"/>
  <c r="Q34" i="12" s="1"/>
  <c r="V34" i="12" s="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 s="1"/>
  <c r="P19" i="11"/>
  <c r="Q19" i="11"/>
  <c r="R19" i="11"/>
  <c r="S19" i="11"/>
  <c r="T19" i="11"/>
  <c r="AA19" i="11" s="1"/>
  <c r="AB19" i="11" s="1"/>
  <c r="U19" i="11"/>
  <c r="V19" i="11"/>
  <c r="W19" i="11"/>
  <c r="X19" i="11"/>
  <c r="Y19" i="11"/>
  <c r="Z19" i="11"/>
  <c r="P20" i="11"/>
  <c r="Q20" i="11"/>
  <c r="R20" i="11"/>
  <c r="S20" i="11"/>
  <c r="T20" i="11"/>
  <c r="AA20" i="11" s="1"/>
  <c r="AB20" i="11" s="1"/>
  <c r="U20" i="11"/>
  <c r="V20" i="11"/>
  <c r="W20" i="11"/>
  <c r="X20" i="11"/>
  <c r="Y20" i="11"/>
  <c r="Z20" i="11"/>
  <c r="P21" i="11"/>
  <c r="Q21" i="11"/>
  <c r="R21" i="11"/>
  <c r="S21" i="11"/>
  <c r="Y21" i="11" s="1"/>
  <c r="T21" i="11"/>
  <c r="AA21" i="11" s="1"/>
  <c r="AB21" i="11" s="1"/>
  <c r="U21" i="11"/>
  <c r="V21" i="11"/>
  <c r="W21" i="11"/>
  <c r="X21" i="11"/>
  <c r="Z21" i="11"/>
  <c r="P22" i="11"/>
  <c r="Q22" i="11"/>
  <c r="R22" i="11"/>
  <c r="X22" i="11" s="1"/>
  <c r="S22" i="11"/>
  <c r="Y22" i="11" s="1"/>
  <c r="T22" i="11"/>
  <c r="U22" i="11"/>
  <c r="V22" i="11"/>
  <c r="W22" i="11"/>
  <c r="Z22" i="11"/>
  <c r="Z36" i="11"/>
  <c r="Y36" i="11"/>
  <c r="X36" i="11"/>
  <c r="W36" i="11"/>
  <c r="U36" i="11"/>
  <c r="T36" i="11"/>
  <c r="S36" i="11"/>
  <c r="R36" i="11"/>
  <c r="P36" i="11"/>
  <c r="Q36" i="11" s="1"/>
  <c r="V36" i="11" s="1"/>
  <c r="Z16" i="11"/>
  <c r="X16" i="11"/>
  <c r="W16" i="11"/>
  <c r="U16" i="11"/>
  <c r="T16" i="11"/>
  <c r="S16" i="11"/>
  <c r="Y16" i="11" s="1"/>
  <c r="R16" i="11"/>
  <c r="P16" i="11"/>
  <c r="Q16" i="11" s="1"/>
  <c r="V16" i="11" s="1"/>
  <c r="Z4" i="11"/>
  <c r="W4" i="11"/>
  <c r="U4" i="11"/>
  <c r="T4" i="11"/>
  <c r="S4" i="11"/>
  <c r="Y4" i="11" s="1"/>
  <c r="R4" i="11"/>
  <c r="X4" i="11" s="1"/>
  <c r="P4" i="11"/>
  <c r="Q4" i="11" s="1"/>
  <c r="V4" i="11" s="1"/>
  <c r="Z28" i="11"/>
  <c r="W28" i="11"/>
  <c r="U28" i="11"/>
  <c r="T28" i="11"/>
  <c r="S28" i="11"/>
  <c r="Y28" i="11" s="1"/>
  <c r="R28" i="11"/>
  <c r="X28" i="11" s="1"/>
  <c r="P28" i="11"/>
  <c r="Q28" i="11" s="1"/>
  <c r="V28" i="11" s="1"/>
  <c r="Z3" i="11"/>
  <c r="W3" i="11"/>
  <c r="U3" i="11"/>
  <c r="T3" i="11"/>
  <c r="S3" i="11"/>
  <c r="Y3" i="11" s="1"/>
  <c r="R3" i="11"/>
  <c r="X3" i="11" s="1"/>
  <c r="P3" i="11"/>
  <c r="Q3" i="11" s="1"/>
  <c r="V3" i="11" s="1"/>
  <c r="Z11" i="11"/>
  <c r="W11" i="11"/>
  <c r="U11" i="11"/>
  <c r="T11" i="11"/>
  <c r="S11" i="11"/>
  <c r="Y11" i="11" s="1"/>
  <c r="R11" i="11"/>
  <c r="X11" i="11" s="1"/>
  <c r="P11" i="11"/>
  <c r="Q11" i="11" s="1"/>
  <c r="V11" i="11" s="1"/>
  <c r="AA11" i="11" s="1"/>
  <c r="AB11" i="11" s="1"/>
  <c r="Z7" i="11"/>
  <c r="W7" i="11"/>
  <c r="U7" i="11"/>
  <c r="T7" i="11"/>
  <c r="S7" i="11"/>
  <c r="Y7" i="11" s="1"/>
  <c r="R7" i="11"/>
  <c r="X7" i="11" s="1"/>
  <c r="P7" i="11"/>
  <c r="Q7" i="11" s="1"/>
  <c r="V7" i="11" s="1"/>
  <c r="Z37" i="11"/>
  <c r="W37" i="11"/>
  <c r="U37" i="11"/>
  <c r="T37" i="11"/>
  <c r="S37" i="11"/>
  <c r="Y37" i="11" s="1"/>
  <c r="R37" i="11"/>
  <c r="X37" i="11" s="1"/>
  <c r="P37" i="11"/>
  <c r="Q37" i="11" s="1"/>
  <c r="V37" i="11" s="1"/>
  <c r="Z10" i="11"/>
  <c r="W10" i="11"/>
  <c r="U10" i="11"/>
  <c r="T10" i="11"/>
  <c r="S10" i="11"/>
  <c r="Y10" i="11" s="1"/>
  <c r="R10" i="11"/>
  <c r="X10" i="11" s="1"/>
  <c r="P10" i="11"/>
  <c r="Q10" i="11" s="1"/>
  <c r="V10" i="11" s="1"/>
  <c r="Z9" i="11"/>
  <c r="W9" i="11"/>
  <c r="U9" i="11"/>
  <c r="T9" i="11"/>
  <c r="S9" i="11"/>
  <c r="Y9" i="11" s="1"/>
  <c r="R9" i="11"/>
  <c r="X9" i="11" s="1"/>
  <c r="P9" i="11"/>
  <c r="Q9" i="11" s="1"/>
  <c r="V9" i="11" s="1"/>
  <c r="Z27" i="11"/>
  <c r="X27" i="11"/>
  <c r="W27" i="11"/>
  <c r="U27" i="11"/>
  <c r="T27" i="11"/>
  <c r="S27" i="11"/>
  <c r="Y27" i="11" s="1"/>
  <c r="R27" i="11"/>
  <c r="P27" i="11"/>
  <c r="Q27" i="11" s="1"/>
  <c r="V27" i="11" s="1"/>
  <c r="Z14" i="11"/>
  <c r="W14" i="11"/>
  <c r="U14" i="11"/>
  <c r="T14" i="11"/>
  <c r="S14" i="11"/>
  <c r="Y14" i="11" s="1"/>
  <c r="R14" i="11"/>
  <c r="X14" i="11" s="1"/>
  <c r="Q14" i="11"/>
  <c r="V14" i="11" s="1"/>
  <c r="P14" i="11"/>
  <c r="Z8" i="11"/>
  <c r="W8" i="11"/>
  <c r="U8" i="11"/>
  <c r="T8" i="11"/>
  <c r="S8" i="11"/>
  <c r="Y8" i="11" s="1"/>
  <c r="R8" i="11"/>
  <c r="X8" i="11" s="1"/>
  <c r="P8" i="11"/>
  <c r="Q8" i="11" s="1"/>
  <c r="V8" i="11" s="1"/>
  <c r="Z31" i="11"/>
  <c r="W31" i="11"/>
  <c r="U31" i="11"/>
  <c r="T31" i="11"/>
  <c r="S31" i="11"/>
  <c r="Y31" i="11" s="1"/>
  <c r="R31" i="11"/>
  <c r="X31" i="11" s="1"/>
  <c r="P31" i="11"/>
  <c r="Q31" i="11" s="1"/>
  <c r="V31" i="11" s="1"/>
  <c r="Z24" i="11"/>
  <c r="W24" i="11"/>
  <c r="U24" i="11"/>
  <c r="T24" i="11"/>
  <c r="S24" i="11"/>
  <c r="Y24" i="11" s="1"/>
  <c r="R24" i="11"/>
  <c r="X24" i="11" s="1"/>
  <c r="P24" i="11"/>
  <c r="Q24" i="11" s="1"/>
  <c r="V24" i="11" s="1"/>
  <c r="Z17" i="11"/>
  <c r="W17" i="11"/>
  <c r="U17" i="11"/>
  <c r="T17" i="11"/>
  <c r="S17" i="11"/>
  <c r="Y17" i="11" s="1"/>
  <c r="R17" i="11"/>
  <c r="X17" i="11" s="1"/>
  <c r="P17" i="11"/>
  <c r="Q17" i="11" s="1"/>
  <c r="V17" i="11" s="1"/>
  <c r="Z29" i="11"/>
  <c r="W29" i="11"/>
  <c r="U29" i="11"/>
  <c r="T29" i="11"/>
  <c r="S29" i="11"/>
  <c r="Y29" i="11" s="1"/>
  <c r="R29" i="11"/>
  <c r="X29" i="11" s="1"/>
  <c r="P29" i="11"/>
  <c r="Q29" i="11" s="1"/>
  <c r="V29" i="11" s="1"/>
  <c r="Z12" i="11"/>
  <c r="W12" i="11"/>
  <c r="U12" i="11"/>
  <c r="T12" i="11"/>
  <c r="S12" i="11"/>
  <c r="Y12" i="11" s="1"/>
  <c r="R12" i="11"/>
  <c r="X12" i="11" s="1"/>
  <c r="P12" i="11"/>
  <c r="Q12" i="11" s="1"/>
  <c r="V12" i="11" s="1"/>
  <c r="Z5" i="11"/>
  <c r="W5" i="11"/>
  <c r="U5" i="11"/>
  <c r="T5" i="11"/>
  <c r="S5" i="11"/>
  <c r="Y5" i="11" s="1"/>
  <c r="R5" i="11"/>
  <c r="X5" i="11" s="1"/>
  <c r="P5" i="11"/>
  <c r="Q5" i="11" s="1"/>
  <c r="V5" i="11" s="1"/>
  <c r="Z15" i="11"/>
  <c r="W15" i="11"/>
  <c r="U15" i="11"/>
  <c r="T15" i="11"/>
  <c r="S15" i="11"/>
  <c r="Y15" i="11" s="1"/>
  <c r="R15" i="11"/>
  <c r="X15" i="11" s="1"/>
  <c r="P15" i="11"/>
  <c r="Q15" i="11" s="1"/>
  <c r="V15" i="11" s="1"/>
  <c r="Z23" i="11"/>
  <c r="W23" i="11"/>
  <c r="U23" i="11"/>
  <c r="T23" i="11"/>
  <c r="S23" i="11"/>
  <c r="Y23" i="11" s="1"/>
  <c r="R23" i="11"/>
  <c r="X23" i="11" s="1"/>
  <c r="P23" i="11"/>
  <c r="Q23" i="11" s="1"/>
  <c r="V23" i="11" s="1"/>
  <c r="Z26" i="11"/>
  <c r="W26" i="11"/>
  <c r="U26" i="11"/>
  <c r="T26" i="11"/>
  <c r="S26" i="11"/>
  <c r="Y26" i="11" s="1"/>
  <c r="R26" i="11"/>
  <c r="X26" i="11" s="1"/>
  <c r="P26" i="11"/>
  <c r="Q26" i="11" s="1"/>
  <c r="V26" i="11" s="1"/>
  <c r="Z38" i="11"/>
  <c r="W38" i="11"/>
  <c r="U38" i="11"/>
  <c r="T38" i="11"/>
  <c r="S38" i="11"/>
  <c r="Y38" i="11" s="1"/>
  <c r="R38" i="11"/>
  <c r="X38" i="11" s="1"/>
  <c r="P38" i="11"/>
  <c r="Q38" i="11" s="1"/>
  <c r="V38" i="11" s="1"/>
  <c r="Z25" i="11"/>
  <c r="W25" i="11"/>
  <c r="U25" i="11"/>
  <c r="T25" i="11"/>
  <c r="S25" i="11"/>
  <c r="Y25" i="11" s="1"/>
  <c r="R25" i="11"/>
  <c r="X25" i="11" s="1"/>
  <c r="P25" i="11"/>
  <c r="Q25" i="11" s="1"/>
  <c r="V25" i="11" s="1"/>
  <c r="Z32" i="11"/>
  <c r="Y32" i="11"/>
  <c r="X32" i="11"/>
  <c r="W32" i="11"/>
  <c r="U32" i="11"/>
  <c r="T32" i="11"/>
  <c r="S32" i="11"/>
  <c r="R32" i="11"/>
  <c r="P32" i="11"/>
  <c r="Q32" i="11" s="1"/>
  <c r="V32" i="11" s="1"/>
  <c r="Z33" i="11"/>
  <c r="W33" i="11"/>
  <c r="U33" i="11"/>
  <c r="T33" i="11"/>
  <c r="S33" i="11"/>
  <c r="Y33" i="11" s="1"/>
  <c r="R33" i="11"/>
  <c r="X33" i="11" s="1"/>
  <c r="P33" i="11"/>
  <c r="Q33" i="11" s="1"/>
  <c r="V33" i="11" s="1"/>
  <c r="Z13" i="11"/>
  <c r="W13" i="11"/>
  <c r="U13" i="11"/>
  <c r="T13" i="11"/>
  <c r="S13" i="11"/>
  <c r="Y13" i="11" s="1"/>
  <c r="R13" i="11"/>
  <c r="X13" i="11" s="1"/>
  <c r="P13" i="11"/>
  <c r="Q13" i="11" s="1"/>
  <c r="V13" i="11" s="1"/>
  <c r="Z30" i="11"/>
  <c r="X30" i="11"/>
  <c r="W30" i="11"/>
  <c r="U30" i="11"/>
  <c r="T30" i="11"/>
  <c r="S30" i="11"/>
  <c r="Y30" i="11" s="1"/>
  <c r="R30" i="11"/>
  <c r="P30" i="11"/>
  <c r="Q30" i="11" s="1"/>
  <c r="V30" i="11" s="1"/>
  <c r="Z35" i="11"/>
  <c r="W35" i="11"/>
  <c r="U35" i="11"/>
  <c r="T35" i="11"/>
  <c r="S35" i="11"/>
  <c r="Y35" i="11" s="1"/>
  <c r="R35" i="11"/>
  <c r="X35" i="11" s="1"/>
  <c r="P35" i="11"/>
  <c r="Q35" i="11" s="1"/>
  <c r="V35" i="11" s="1"/>
  <c r="Z34" i="11"/>
  <c r="W34" i="11"/>
  <c r="U34" i="11"/>
  <c r="T34" i="11"/>
  <c r="S34" i="11"/>
  <c r="Y34" i="11" s="1"/>
  <c r="R34" i="11"/>
  <c r="X34" i="11" s="1"/>
  <c r="P34" i="11"/>
  <c r="Q34" i="11" s="1"/>
  <c r="V34" i="11" s="1"/>
  <c r="AA34" i="11" s="1"/>
  <c r="AB34" i="11" s="1"/>
  <c r="Z6" i="11"/>
  <c r="W6" i="11"/>
  <c r="U6" i="11"/>
  <c r="T6" i="11"/>
  <c r="S6" i="11"/>
  <c r="Y6" i="11" s="1"/>
  <c r="R6" i="11"/>
  <c r="X6" i="11" s="1"/>
  <c r="P6" i="11"/>
  <c r="Q6" i="11" s="1"/>
  <c r="V6" i="11" s="1"/>
  <c r="AA16" i="13" l="1"/>
  <c r="AB16" i="13" s="1"/>
  <c r="AA24" i="13"/>
  <c r="AB24" i="13" s="1"/>
  <c r="AA17" i="13"/>
  <c r="AB17" i="13" s="1"/>
  <c r="AA18" i="13"/>
  <c r="AB18" i="13" s="1"/>
  <c r="AA25" i="13"/>
  <c r="AB25" i="13" s="1"/>
  <c r="AA6" i="13"/>
  <c r="AB6" i="13" s="1"/>
  <c r="AA5" i="13"/>
  <c r="AB5" i="13" s="1"/>
  <c r="AA27" i="13"/>
  <c r="AB27" i="13" s="1"/>
  <c r="AA19" i="13"/>
  <c r="AB19" i="13" s="1"/>
  <c r="AA15" i="13"/>
  <c r="AB15" i="13" s="1"/>
  <c r="AA30" i="13"/>
  <c r="AB30" i="13" s="1"/>
  <c r="AA26" i="13"/>
  <c r="AB26" i="13" s="1"/>
  <c r="AA8" i="13"/>
  <c r="AB8" i="13" s="1"/>
  <c r="AA12" i="13"/>
  <c r="AB12" i="13" s="1"/>
  <c r="AA20" i="13"/>
  <c r="AB20" i="13" s="1"/>
  <c r="AA29" i="13"/>
  <c r="AB29" i="13" s="1"/>
  <c r="AA3" i="13"/>
  <c r="AB3" i="13" s="1"/>
  <c r="AA22" i="13"/>
  <c r="AB22" i="13" s="1"/>
  <c r="AA7" i="12"/>
  <c r="AB7" i="12" s="1"/>
  <c r="AA32" i="12"/>
  <c r="AB32" i="12" s="1"/>
  <c r="AA15" i="12"/>
  <c r="AB15" i="12" s="1"/>
  <c r="AA19" i="12"/>
  <c r="AB19" i="12" s="1"/>
  <c r="AA22" i="12"/>
  <c r="AB22" i="12" s="1"/>
  <c r="AA6" i="12"/>
  <c r="AB6" i="12" s="1"/>
  <c r="AA20" i="12"/>
  <c r="AB20" i="12" s="1"/>
  <c r="AA28" i="12"/>
  <c r="AB28" i="12" s="1"/>
  <c r="AA30" i="12"/>
  <c r="AB30" i="12" s="1"/>
  <c r="AA27" i="12"/>
  <c r="AB27" i="12" s="1"/>
  <c r="AA13" i="12"/>
  <c r="AB13" i="12" s="1"/>
  <c r="AA29" i="12"/>
  <c r="AB29" i="12" s="1"/>
  <c r="AA18" i="12"/>
  <c r="AB18" i="12" s="1"/>
  <c r="AA34" i="12"/>
  <c r="AB34" i="12" s="1"/>
  <c r="AA26" i="12"/>
  <c r="AB26" i="12" s="1"/>
  <c r="AA5" i="12"/>
  <c r="AB5" i="12" s="1"/>
  <c r="AA21" i="12"/>
  <c r="AB21" i="12" s="1"/>
  <c r="AA11" i="15"/>
  <c r="AB11" i="15" s="1"/>
  <c r="AA22" i="15"/>
  <c r="AB22" i="15" s="1"/>
  <c r="AA14" i="15"/>
  <c r="AB14" i="15" s="1"/>
  <c r="AA18" i="15"/>
  <c r="AB18" i="15" s="1"/>
  <c r="AA21" i="15"/>
  <c r="AB21" i="15" s="1"/>
  <c r="AA25" i="15"/>
  <c r="AB25" i="15" s="1"/>
  <c r="AA32" i="15"/>
  <c r="AB32" i="15" s="1"/>
  <c r="AA10" i="15"/>
  <c r="AB10" i="15" s="1"/>
  <c r="AA6" i="15"/>
  <c r="AB6" i="15" s="1"/>
  <c r="AA9" i="15"/>
  <c r="AB9" i="15" s="1"/>
  <c r="AA24" i="15"/>
  <c r="AB24" i="15" s="1"/>
  <c r="AA28" i="15"/>
  <c r="AB28" i="15" s="1"/>
  <c r="AA13" i="15"/>
  <c r="AB13" i="15" s="1"/>
  <c r="AA20" i="15"/>
  <c r="AB20" i="15" s="1"/>
  <c r="AA35" i="15"/>
  <c r="AB35" i="15" s="1"/>
  <c r="AA12" i="15"/>
  <c r="AB12" i="15" s="1"/>
  <c r="AA15" i="15"/>
  <c r="AB15" i="15" s="1"/>
  <c r="AA16" i="15"/>
  <c r="AB16" i="15" s="1"/>
  <c r="AA7" i="15"/>
  <c r="AB7" i="15" s="1"/>
  <c r="AA8" i="15"/>
  <c r="AB8" i="15" s="1"/>
  <c r="AA23" i="15"/>
  <c r="AB23" i="15" s="1"/>
  <c r="AA9" i="14"/>
  <c r="AB9" i="14" s="1"/>
  <c r="AA23" i="14"/>
  <c r="AB23" i="14" s="1"/>
  <c r="AA12" i="14"/>
  <c r="AB12" i="14" s="1"/>
  <c r="AA19" i="14"/>
  <c r="AB19" i="14" s="1"/>
  <c r="AA33" i="14"/>
  <c r="AB33" i="14" s="1"/>
  <c r="AA27" i="14"/>
  <c r="AB27" i="14" s="1"/>
  <c r="AA7" i="14"/>
  <c r="AB7" i="14" s="1"/>
  <c r="AA22" i="14"/>
  <c r="AB22" i="14" s="1"/>
  <c r="AA32" i="14"/>
  <c r="AB32" i="14" s="1"/>
  <c r="AA11" i="14"/>
  <c r="AB11" i="14" s="1"/>
  <c r="AA35" i="14"/>
  <c r="AB35" i="14" s="1"/>
  <c r="AA15" i="14"/>
  <c r="AB15" i="14" s="1"/>
  <c r="AA21" i="14"/>
  <c r="AB21" i="14" s="1"/>
  <c r="AA24" i="14"/>
  <c r="AB24" i="14" s="1"/>
  <c r="AA26" i="14"/>
  <c r="AB26" i="14" s="1"/>
  <c r="AA31" i="14"/>
  <c r="AB31" i="14" s="1"/>
  <c r="AA32" i="13"/>
  <c r="AB32" i="13" s="1"/>
  <c r="AA23" i="13"/>
  <c r="AB23" i="13" s="1"/>
  <c r="AA28" i="13"/>
  <c r="AB28" i="13" s="1"/>
  <c r="AA13" i="13"/>
  <c r="AB13" i="13" s="1"/>
  <c r="AA34" i="13"/>
  <c r="AB34" i="13" s="1"/>
  <c r="AA4" i="13"/>
  <c r="AB4" i="13" s="1"/>
  <c r="AA10" i="13"/>
  <c r="AB10" i="13" s="1"/>
  <c r="AA9" i="13"/>
  <c r="AB9" i="13" s="1"/>
  <c r="AA21" i="13"/>
  <c r="AB21" i="13" s="1"/>
  <c r="AA33" i="13"/>
  <c r="AB33" i="13" s="1"/>
  <c r="AA31" i="13"/>
  <c r="AB31" i="13" s="1"/>
  <c r="AA35" i="13"/>
  <c r="AB35" i="13" s="1"/>
  <c r="AA7" i="13"/>
  <c r="AB7" i="13" s="1"/>
  <c r="AA11" i="13"/>
  <c r="AB11" i="13" s="1"/>
  <c r="AA24" i="12"/>
  <c r="AB24" i="12" s="1"/>
  <c r="AA11" i="12"/>
  <c r="AB11" i="12" s="1"/>
  <c r="AA9" i="12"/>
  <c r="AB9" i="12" s="1"/>
  <c r="AA14" i="12"/>
  <c r="AB14" i="12" s="1"/>
  <c r="AA31" i="12"/>
  <c r="AB31" i="12" s="1"/>
  <c r="AA4" i="12"/>
  <c r="AB4" i="12" s="1"/>
  <c r="AA16" i="12"/>
  <c r="AB16" i="12" s="1"/>
  <c r="AA17" i="12"/>
  <c r="AB17" i="12" s="1"/>
  <c r="AA33" i="12"/>
  <c r="AB33" i="12" s="1"/>
  <c r="AA8" i="12"/>
  <c r="AB8" i="12" s="1"/>
  <c r="AA25" i="12"/>
  <c r="AB25" i="12" s="1"/>
  <c r="AA35" i="12"/>
  <c r="AB35" i="12" s="1"/>
  <c r="AA10" i="12"/>
  <c r="AB10" i="12" s="1"/>
  <c r="AA22" i="11"/>
  <c r="AB22" i="11" s="1"/>
  <c r="AA13" i="11"/>
  <c r="AB13" i="11" s="1"/>
  <c r="AA29" i="11"/>
  <c r="AB29" i="11" s="1"/>
  <c r="AA31" i="11"/>
  <c r="AB31" i="11" s="1"/>
  <c r="AA30" i="11"/>
  <c r="AB30" i="11" s="1"/>
  <c r="AA8" i="11"/>
  <c r="AB8" i="11" s="1"/>
  <c r="AA10" i="11"/>
  <c r="AB10" i="11" s="1"/>
  <c r="AA28" i="11"/>
  <c r="AB28" i="11" s="1"/>
  <c r="AA15" i="11"/>
  <c r="AB15" i="11" s="1"/>
  <c r="AA24" i="11"/>
  <c r="AB24" i="11" s="1"/>
  <c r="AA35" i="11"/>
  <c r="AB35" i="11" s="1"/>
  <c r="AA25" i="11"/>
  <c r="AB25" i="11" s="1"/>
  <c r="AA3" i="11"/>
  <c r="AB3" i="11" s="1"/>
  <c r="AA17" i="11"/>
  <c r="AB17" i="11" s="1"/>
  <c r="AA33" i="11"/>
  <c r="AB33" i="11" s="1"/>
  <c r="AA4" i="11"/>
  <c r="AB4" i="11" s="1"/>
  <c r="AA16" i="11"/>
  <c r="AB16" i="11" s="1"/>
  <c r="AA27" i="11"/>
  <c r="AB27" i="11" s="1"/>
  <c r="AA5" i="11"/>
  <c r="AB5" i="11" s="1"/>
  <c r="AA37" i="11"/>
  <c r="AB37" i="11" s="1"/>
  <c r="AA26" i="11"/>
  <c r="AB26" i="11" s="1"/>
  <c r="AA14" i="11"/>
  <c r="AB14" i="11" s="1"/>
  <c r="AA38" i="11"/>
  <c r="AB38" i="11" s="1"/>
  <c r="AA12" i="11"/>
  <c r="AB12" i="11" s="1"/>
  <c r="AA6" i="11"/>
  <c r="AB6" i="11" s="1"/>
  <c r="AA7" i="11"/>
  <c r="AB7" i="11" s="1"/>
  <c r="AA23" i="11"/>
  <c r="AB23" i="11" s="1"/>
  <c r="AA9" i="11"/>
  <c r="AB9" i="11" s="1"/>
  <c r="AA32" i="11"/>
  <c r="AB32" i="11" s="1"/>
  <c r="AA36" i="11"/>
  <c r="AB36" i="11" s="1"/>
  <c r="W47" i="9" l="1"/>
  <c r="V47" i="9"/>
  <c r="U47" i="9"/>
  <c r="T47" i="9"/>
  <c r="Z22" i="9" l="1"/>
  <c r="W22" i="9"/>
  <c r="U22" i="9"/>
  <c r="T22" i="9"/>
  <c r="S22" i="9"/>
  <c r="Y22" i="9" s="1"/>
  <c r="R22" i="9"/>
  <c r="X22" i="9" s="1"/>
  <c r="P22" i="9"/>
  <c r="Q22" i="9" s="1"/>
  <c r="V22" i="9" s="1"/>
  <c r="Z31" i="9"/>
  <c r="W31" i="9"/>
  <c r="U31" i="9"/>
  <c r="T31" i="9"/>
  <c r="S31" i="9"/>
  <c r="Y31" i="9" s="1"/>
  <c r="R31" i="9"/>
  <c r="X31" i="9" s="1"/>
  <c r="P31" i="9"/>
  <c r="Q31" i="9" s="1"/>
  <c r="V31" i="9" s="1"/>
  <c r="Z29" i="9"/>
  <c r="W29" i="9"/>
  <c r="U29" i="9"/>
  <c r="T29" i="9"/>
  <c r="S29" i="9"/>
  <c r="Y29" i="9" s="1"/>
  <c r="R29" i="9"/>
  <c r="X29" i="9" s="1"/>
  <c r="P29" i="9"/>
  <c r="Q29" i="9" s="1"/>
  <c r="V29" i="9" s="1"/>
  <c r="Z33" i="9"/>
  <c r="W33" i="9"/>
  <c r="U33" i="9"/>
  <c r="T33" i="9"/>
  <c r="S33" i="9"/>
  <c r="Y33" i="9" s="1"/>
  <c r="R33" i="9"/>
  <c r="X33" i="9" s="1"/>
  <c r="P33" i="9"/>
  <c r="Q33" i="9" s="1"/>
  <c r="V33" i="9" s="1"/>
  <c r="Z30" i="9"/>
  <c r="W30" i="9"/>
  <c r="U30" i="9"/>
  <c r="T30" i="9"/>
  <c r="S30" i="9"/>
  <c r="Y30" i="9" s="1"/>
  <c r="R30" i="9"/>
  <c r="X30" i="9" s="1"/>
  <c r="P30" i="9"/>
  <c r="Q30" i="9" s="1"/>
  <c r="V30" i="9" s="1"/>
  <c r="Z35" i="9"/>
  <c r="W35" i="9"/>
  <c r="U35" i="9"/>
  <c r="T35" i="9"/>
  <c r="S35" i="9"/>
  <c r="Y35" i="9" s="1"/>
  <c r="R35" i="9"/>
  <c r="X35" i="9" s="1"/>
  <c r="P35" i="9"/>
  <c r="Q35" i="9" s="1"/>
  <c r="V35" i="9" s="1"/>
  <c r="Z34" i="9"/>
  <c r="W34" i="9"/>
  <c r="U34" i="9"/>
  <c r="T34" i="9"/>
  <c r="S34" i="9"/>
  <c r="Y34" i="9" s="1"/>
  <c r="R34" i="9"/>
  <c r="X34" i="9" s="1"/>
  <c r="P34" i="9"/>
  <c r="Q34" i="9" s="1"/>
  <c r="V34" i="9" s="1"/>
  <c r="Z5" i="9"/>
  <c r="W5" i="9"/>
  <c r="U5" i="9"/>
  <c r="T5" i="9"/>
  <c r="S5" i="9"/>
  <c r="Y5" i="9" s="1"/>
  <c r="R5" i="9"/>
  <c r="X5" i="9" s="1"/>
  <c r="P5" i="9"/>
  <c r="Q5" i="9" s="1"/>
  <c r="V5" i="9" s="1"/>
  <c r="Z28" i="9"/>
  <c r="W28" i="9"/>
  <c r="U28" i="9"/>
  <c r="T28" i="9"/>
  <c r="S28" i="9"/>
  <c r="Y28" i="9" s="1"/>
  <c r="R28" i="9"/>
  <c r="X28" i="9" s="1"/>
  <c r="P28" i="9"/>
  <c r="Q28" i="9" s="1"/>
  <c r="V28" i="9" s="1"/>
  <c r="Z12" i="9"/>
  <c r="W12" i="9"/>
  <c r="U12" i="9"/>
  <c r="T12" i="9"/>
  <c r="S12" i="9"/>
  <c r="Y12" i="9" s="1"/>
  <c r="R12" i="9"/>
  <c r="X12" i="9" s="1"/>
  <c r="P12" i="9"/>
  <c r="Q12" i="9" s="1"/>
  <c r="V12" i="9" s="1"/>
  <c r="Z10" i="9"/>
  <c r="W10" i="9"/>
  <c r="U10" i="9"/>
  <c r="T10" i="9"/>
  <c r="S10" i="9"/>
  <c r="Y10" i="9" s="1"/>
  <c r="R10" i="9"/>
  <c r="X10" i="9" s="1"/>
  <c r="P10" i="9"/>
  <c r="Q10" i="9" s="1"/>
  <c r="V10" i="9" s="1"/>
  <c r="Z26" i="9"/>
  <c r="W26" i="9"/>
  <c r="U26" i="9"/>
  <c r="T26" i="9"/>
  <c r="S26" i="9"/>
  <c r="Y26" i="9" s="1"/>
  <c r="R26" i="9"/>
  <c r="X26" i="9" s="1"/>
  <c r="P26" i="9"/>
  <c r="Q26" i="9" s="1"/>
  <c r="V26" i="9" s="1"/>
  <c r="Z25" i="9"/>
  <c r="W25" i="9"/>
  <c r="U25" i="9"/>
  <c r="T25" i="9"/>
  <c r="S25" i="9"/>
  <c r="Y25" i="9" s="1"/>
  <c r="R25" i="9"/>
  <c r="X25" i="9" s="1"/>
  <c r="P25" i="9"/>
  <c r="Q25" i="9" s="1"/>
  <c r="V25" i="9" s="1"/>
  <c r="Z27" i="9"/>
  <c r="W27" i="9"/>
  <c r="U27" i="9"/>
  <c r="T27" i="9"/>
  <c r="S27" i="9"/>
  <c r="Y27" i="9" s="1"/>
  <c r="R27" i="9"/>
  <c r="X27" i="9" s="1"/>
  <c r="P27" i="9"/>
  <c r="Q27" i="9" s="1"/>
  <c r="V27" i="9" s="1"/>
  <c r="Z23" i="9"/>
  <c r="W23" i="9"/>
  <c r="U23" i="9"/>
  <c r="T23" i="9"/>
  <c r="S23" i="9"/>
  <c r="Y23" i="9" s="1"/>
  <c r="R23" i="9"/>
  <c r="X23" i="9" s="1"/>
  <c r="P23" i="9"/>
  <c r="Q23" i="9" s="1"/>
  <c r="V23" i="9" s="1"/>
  <c r="Z24" i="9"/>
  <c r="W24" i="9"/>
  <c r="U24" i="9"/>
  <c r="T24" i="9"/>
  <c r="S24" i="9"/>
  <c r="Y24" i="9" s="1"/>
  <c r="R24" i="9"/>
  <c r="X24" i="9" s="1"/>
  <c r="P24" i="9"/>
  <c r="Q24" i="9" s="1"/>
  <c r="V24" i="9" s="1"/>
  <c r="Z15" i="9"/>
  <c r="W15" i="9"/>
  <c r="U15" i="9"/>
  <c r="T15" i="9"/>
  <c r="S15" i="9"/>
  <c r="Y15" i="9" s="1"/>
  <c r="R15" i="9"/>
  <c r="X15" i="9" s="1"/>
  <c r="P15" i="9"/>
  <c r="Q15" i="9" s="1"/>
  <c r="V15" i="9" s="1"/>
  <c r="Z19" i="9"/>
  <c r="W19" i="9"/>
  <c r="U19" i="9"/>
  <c r="T19" i="9"/>
  <c r="S19" i="9"/>
  <c r="Y19" i="9" s="1"/>
  <c r="R19" i="9"/>
  <c r="X19" i="9" s="1"/>
  <c r="P19" i="9"/>
  <c r="Q19" i="9" s="1"/>
  <c r="V19" i="9" s="1"/>
  <c r="Z13" i="9"/>
  <c r="W13" i="9"/>
  <c r="U13" i="9"/>
  <c r="T13" i="9"/>
  <c r="S13" i="9"/>
  <c r="Y13" i="9" s="1"/>
  <c r="R13" i="9"/>
  <c r="X13" i="9" s="1"/>
  <c r="P13" i="9"/>
  <c r="Q13" i="9" s="1"/>
  <c r="V13" i="9" s="1"/>
  <c r="Z32" i="9"/>
  <c r="W32" i="9"/>
  <c r="U32" i="9"/>
  <c r="T32" i="9"/>
  <c r="S32" i="9"/>
  <c r="Y32" i="9" s="1"/>
  <c r="R32" i="9"/>
  <c r="X32" i="9" s="1"/>
  <c r="P32" i="9"/>
  <c r="Q32" i="9" s="1"/>
  <c r="V32" i="9" s="1"/>
  <c r="Z17" i="9"/>
  <c r="W17" i="9"/>
  <c r="U17" i="9"/>
  <c r="T17" i="9"/>
  <c r="S17" i="9"/>
  <c r="Y17" i="9" s="1"/>
  <c r="R17" i="9"/>
  <c r="X17" i="9" s="1"/>
  <c r="P17" i="9"/>
  <c r="Q17" i="9" s="1"/>
  <c r="V17" i="9" s="1"/>
  <c r="Z20" i="9"/>
  <c r="W20" i="9"/>
  <c r="U20" i="9"/>
  <c r="T20" i="9"/>
  <c r="S20" i="9"/>
  <c r="Y20" i="9" s="1"/>
  <c r="R20" i="9"/>
  <c r="X20" i="9" s="1"/>
  <c r="P20" i="9"/>
  <c r="Q20" i="9" s="1"/>
  <c r="V20" i="9" s="1"/>
  <c r="Z14" i="9"/>
  <c r="W14" i="9"/>
  <c r="U14" i="9"/>
  <c r="T14" i="9"/>
  <c r="S14" i="9"/>
  <c r="Y14" i="9" s="1"/>
  <c r="R14" i="9"/>
  <c r="X14" i="9" s="1"/>
  <c r="P14" i="9"/>
  <c r="Q14" i="9" s="1"/>
  <c r="V14" i="9" s="1"/>
  <c r="Z16" i="9"/>
  <c r="W16" i="9"/>
  <c r="U16" i="9"/>
  <c r="T16" i="9"/>
  <c r="S16" i="9"/>
  <c r="Y16" i="9" s="1"/>
  <c r="R16" i="9"/>
  <c r="X16" i="9" s="1"/>
  <c r="P16" i="9"/>
  <c r="Q16" i="9" s="1"/>
  <c r="V16" i="9" s="1"/>
  <c r="Z18" i="9"/>
  <c r="W18" i="9"/>
  <c r="U18" i="9"/>
  <c r="T18" i="9"/>
  <c r="S18" i="9"/>
  <c r="Y18" i="9" s="1"/>
  <c r="R18" i="9"/>
  <c r="X18" i="9" s="1"/>
  <c r="P18" i="9"/>
  <c r="Q18" i="9" s="1"/>
  <c r="V18" i="9" s="1"/>
  <c r="Z7" i="9"/>
  <c r="W7" i="9"/>
  <c r="U7" i="9"/>
  <c r="T7" i="9"/>
  <c r="S7" i="9"/>
  <c r="Y7" i="9" s="1"/>
  <c r="R7" i="9"/>
  <c r="X7" i="9" s="1"/>
  <c r="P7" i="9"/>
  <c r="Q7" i="9" s="1"/>
  <c r="V7" i="9" s="1"/>
  <c r="Z11" i="9"/>
  <c r="W11" i="9"/>
  <c r="U11" i="9"/>
  <c r="T11" i="9"/>
  <c r="S11" i="9"/>
  <c r="Y11" i="9" s="1"/>
  <c r="R11" i="9"/>
  <c r="X11" i="9" s="1"/>
  <c r="P11" i="9"/>
  <c r="Q11" i="9" s="1"/>
  <c r="V11" i="9" s="1"/>
  <c r="Z9" i="9"/>
  <c r="W9" i="9"/>
  <c r="U9" i="9"/>
  <c r="T9" i="9"/>
  <c r="S9" i="9"/>
  <c r="Y9" i="9" s="1"/>
  <c r="R9" i="9"/>
  <c r="X9" i="9" s="1"/>
  <c r="P9" i="9"/>
  <c r="Q9" i="9" s="1"/>
  <c r="V9" i="9" s="1"/>
  <c r="Z36" i="9"/>
  <c r="W36" i="9"/>
  <c r="U36" i="9"/>
  <c r="T36" i="9"/>
  <c r="S36" i="9"/>
  <c r="Y36" i="9" s="1"/>
  <c r="R36" i="9"/>
  <c r="X36" i="9" s="1"/>
  <c r="P36" i="9"/>
  <c r="Q36" i="9" s="1"/>
  <c r="V36" i="9" s="1"/>
  <c r="Z21" i="9"/>
  <c r="W21" i="9"/>
  <c r="U21" i="9"/>
  <c r="T21" i="9"/>
  <c r="S21" i="9"/>
  <c r="Y21" i="9" s="1"/>
  <c r="R21" i="9"/>
  <c r="X21" i="9" s="1"/>
  <c r="P21" i="9"/>
  <c r="Q21" i="9" s="1"/>
  <c r="V21" i="9" s="1"/>
  <c r="Z4" i="9"/>
  <c r="W4" i="9"/>
  <c r="U4" i="9"/>
  <c r="T4" i="9"/>
  <c r="S4" i="9"/>
  <c r="Y4" i="9" s="1"/>
  <c r="R4" i="9"/>
  <c r="X4" i="9" s="1"/>
  <c r="P4" i="9"/>
  <c r="Q4" i="9" s="1"/>
  <c r="V4" i="9" s="1"/>
  <c r="Z3" i="9"/>
  <c r="W3" i="9"/>
  <c r="U3" i="9"/>
  <c r="T3" i="9"/>
  <c r="S3" i="9"/>
  <c r="Y3" i="9" s="1"/>
  <c r="R3" i="9"/>
  <c r="X3" i="9" s="1"/>
  <c r="P3" i="9"/>
  <c r="Q3" i="9" s="1"/>
  <c r="V3" i="9" s="1"/>
  <c r="Z6" i="9"/>
  <c r="W6" i="9"/>
  <c r="U6" i="9"/>
  <c r="T6" i="9"/>
  <c r="S6" i="9"/>
  <c r="Y6" i="9" s="1"/>
  <c r="R6" i="9"/>
  <c r="X6" i="9" s="1"/>
  <c r="P6" i="9"/>
  <c r="Q6" i="9" s="1"/>
  <c r="V6" i="9" s="1"/>
  <c r="Z8" i="9"/>
  <c r="W8" i="9"/>
  <c r="U8" i="9"/>
  <c r="T8" i="9"/>
  <c r="S8" i="9"/>
  <c r="Y8" i="9" s="1"/>
  <c r="R8" i="9"/>
  <c r="X8" i="9" s="1"/>
  <c r="P8" i="9"/>
  <c r="Q8" i="9" s="1"/>
  <c r="V8" i="9" s="1"/>
  <c r="Z36" i="8"/>
  <c r="W36" i="8"/>
  <c r="U36" i="8"/>
  <c r="T36" i="8"/>
  <c r="S36" i="8"/>
  <c r="Y36" i="8" s="1"/>
  <c r="R36" i="8"/>
  <c r="X36" i="8" s="1"/>
  <c r="Q36" i="8"/>
  <c r="V36" i="8" s="1"/>
  <c r="P36" i="8"/>
  <c r="Z19" i="8"/>
  <c r="W19" i="8"/>
  <c r="U19" i="8"/>
  <c r="T19" i="8"/>
  <c r="S19" i="8"/>
  <c r="Y19" i="8" s="1"/>
  <c r="R19" i="8"/>
  <c r="X19" i="8" s="1"/>
  <c r="P19" i="8"/>
  <c r="Q19" i="8" s="1"/>
  <c r="V19" i="8" s="1"/>
  <c r="Z16" i="8"/>
  <c r="W16" i="8"/>
  <c r="U16" i="8"/>
  <c r="T16" i="8"/>
  <c r="S16" i="8"/>
  <c r="Y16" i="8" s="1"/>
  <c r="R16" i="8"/>
  <c r="X16" i="8" s="1"/>
  <c r="P16" i="8"/>
  <c r="Q16" i="8" s="1"/>
  <c r="V16" i="8" s="1"/>
  <c r="Z18" i="8"/>
  <c r="W18" i="8"/>
  <c r="U18" i="8"/>
  <c r="T18" i="8"/>
  <c r="S18" i="8"/>
  <c r="Y18" i="8" s="1"/>
  <c r="R18" i="8"/>
  <c r="X18" i="8" s="1"/>
  <c r="P18" i="8"/>
  <c r="Q18" i="8" s="1"/>
  <c r="V18" i="8" s="1"/>
  <c r="Z17" i="8"/>
  <c r="W17" i="8"/>
  <c r="U17" i="8"/>
  <c r="T17" i="8"/>
  <c r="S17" i="8"/>
  <c r="Y17" i="8" s="1"/>
  <c r="R17" i="8"/>
  <c r="X17" i="8" s="1"/>
  <c r="P17" i="8"/>
  <c r="Q17" i="8" s="1"/>
  <c r="V17" i="8" s="1"/>
  <c r="Z13" i="8"/>
  <c r="W13" i="8"/>
  <c r="U13" i="8"/>
  <c r="T13" i="8"/>
  <c r="S13" i="8"/>
  <c r="Y13" i="8" s="1"/>
  <c r="R13" i="8"/>
  <c r="X13" i="8" s="1"/>
  <c r="P13" i="8"/>
  <c r="Q13" i="8" s="1"/>
  <c r="V13" i="8" s="1"/>
  <c r="Z14" i="8"/>
  <c r="W14" i="8"/>
  <c r="U14" i="8"/>
  <c r="T14" i="8"/>
  <c r="S14" i="8"/>
  <c r="Y14" i="8" s="1"/>
  <c r="R14" i="8"/>
  <c r="X14" i="8" s="1"/>
  <c r="P14" i="8"/>
  <c r="Q14" i="8" s="1"/>
  <c r="V14" i="8" s="1"/>
  <c r="Z15" i="8"/>
  <c r="W15" i="8"/>
  <c r="U15" i="8"/>
  <c r="T15" i="8"/>
  <c r="S15" i="8"/>
  <c r="Y15" i="8" s="1"/>
  <c r="R15" i="8"/>
  <c r="X15" i="8" s="1"/>
  <c r="P15" i="8"/>
  <c r="Q15" i="8" s="1"/>
  <c r="V15" i="8" s="1"/>
  <c r="Z12" i="8"/>
  <c r="W12" i="8"/>
  <c r="U12" i="8"/>
  <c r="T12" i="8"/>
  <c r="S12" i="8"/>
  <c r="Y12" i="8" s="1"/>
  <c r="R12" i="8"/>
  <c r="X12" i="8" s="1"/>
  <c r="P12" i="8"/>
  <c r="Q12" i="8" s="1"/>
  <c r="V12" i="8" s="1"/>
  <c r="Z25" i="8"/>
  <c r="W25" i="8"/>
  <c r="U25" i="8"/>
  <c r="T25" i="8"/>
  <c r="S25" i="8"/>
  <c r="Y25" i="8" s="1"/>
  <c r="R25" i="8"/>
  <c r="X25" i="8" s="1"/>
  <c r="P25" i="8"/>
  <c r="Q25" i="8" s="1"/>
  <c r="V25" i="8" s="1"/>
  <c r="Z26" i="8"/>
  <c r="W26" i="8"/>
  <c r="U26" i="8"/>
  <c r="T26" i="8"/>
  <c r="S26" i="8"/>
  <c r="Y26" i="8" s="1"/>
  <c r="R26" i="8"/>
  <c r="X26" i="8" s="1"/>
  <c r="P26" i="8"/>
  <c r="Q26" i="8" s="1"/>
  <c r="V26" i="8" s="1"/>
  <c r="Z21" i="8"/>
  <c r="W21" i="8"/>
  <c r="U21" i="8"/>
  <c r="T21" i="8"/>
  <c r="S21" i="8"/>
  <c r="Y21" i="8" s="1"/>
  <c r="R21" i="8"/>
  <c r="X21" i="8" s="1"/>
  <c r="P21" i="8"/>
  <c r="Q21" i="8" s="1"/>
  <c r="V21" i="8" s="1"/>
  <c r="Z24" i="8"/>
  <c r="W24" i="8"/>
  <c r="U24" i="8"/>
  <c r="T24" i="8"/>
  <c r="S24" i="8"/>
  <c r="Y24" i="8" s="1"/>
  <c r="R24" i="8"/>
  <c r="X24" i="8" s="1"/>
  <c r="P24" i="8"/>
  <c r="Q24" i="8" s="1"/>
  <c r="V24" i="8" s="1"/>
  <c r="Z23" i="8"/>
  <c r="W23" i="8"/>
  <c r="U23" i="8"/>
  <c r="T23" i="8"/>
  <c r="S23" i="8"/>
  <c r="Y23" i="8" s="1"/>
  <c r="R23" i="8"/>
  <c r="X23" i="8" s="1"/>
  <c r="P23" i="8"/>
  <c r="Q23" i="8" s="1"/>
  <c r="V23" i="8" s="1"/>
  <c r="Z22" i="8"/>
  <c r="W22" i="8"/>
  <c r="U22" i="8"/>
  <c r="T22" i="8"/>
  <c r="S22" i="8"/>
  <c r="Y22" i="8" s="1"/>
  <c r="R22" i="8"/>
  <c r="X22" i="8" s="1"/>
  <c r="P22" i="8"/>
  <c r="Q22" i="8" s="1"/>
  <c r="V22" i="8" s="1"/>
  <c r="Z20" i="8"/>
  <c r="W20" i="8"/>
  <c r="U20" i="8"/>
  <c r="T20" i="8"/>
  <c r="S20" i="8"/>
  <c r="Y20" i="8" s="1"/>
  <c r="R20" i="8"/>
  <c r="X20" i="8" s="1"/>
  <c r="P20" i="8"/>
  <c r="Q20" i="8" s="1"/>
  <c r="V20" i="8" s="1"/>
  <c r="Z3" i="8"/>
  <c r="W3" i="8"/>
  <c r="U3" i="8"/>
  <c r="T3" i="8"/>
  <c r="S3" i="8"/>
  <c r="Y3" i="8" s="1"/>
  <c r="R3" i="8"/>
  <c r="X3" i="8" s="1"/>
  <c r="P3" i="8"/>
  <c r="Q3" i="8" s="1"/>
  <c r="V3" i="8" s="1"/>
  <c r="Z6" i="8"/>
  <c r="W6" i="8"/>
  <c r="U6" i="8"/>
  <c r="T6" i="8"/>
  <c r="S6" i="8"/>
  <c r="Y6" i="8" s="1"/>
  <c r="R6" i="8"/>
  <c r="X6" i="8" s="1"/>
  <c r="P6" i="8"/>
  <c r="Q6" i="8" s="1"/>
  <c r="V6" i="8" s="1"/>
  <c r="Z4" i="8"/>
  <c r="W4" i="8"/>
  <c r="U4" i="8"/>
  <c r="T4" i="8"/>
  <c r="S4" i="8"/>
  <c r="Y4" i="8" s="1"/>
  <c r="R4" i="8"/>
  <c r="X4" i="8" s="1"/>
  <c r="P4" i="8"/>
  <c r="Q4" i="8" s="1"/>
  <c r="V4" i="8" s="1"/>
  <c r="Z11" i="8"/>
  <c r="W11" i="8"/>
  <c r="U11" i="8"/>
  <c r="T11" i="8"/>
  <c r="S11" i="8"/>
  <c r="Y11" i="8" s="1"/>
  <c r="R11" i="8"/>
  <c r="X11" i="8" s="1"/>
  <c r="P11" i="8"/>
  <c r="Q11" i="8" s="1"/>
  <c r="V11" i="8" s="1"/>
  <c r="Z7" i="8"/>
  <c r="W7" i="8"/>
  <c r="U7" i="8"/>
  <c r="T7" i="8"/>
  <c r="S7" i="8"/>
  <c r="Y7" i="8" s="1"/>
  <c r="R7" i="8"/>
  <c r="X7" i="8" s="1"/>
  <c r="P7" i="8"/>
  <c r="Q7" i="8" s="1"/>
  <c r="V7" i="8" s="1"/>
  <c r="Z8" i="8"/>
  <c r="W8" i="8"/>
  <c r="U8" i="8"/>
  <c r="T8" i="8"/>
  <c r="S8" i="8"/>
  <c r="Y8" i="8" s="1"/>
  <c r="R8" i="8"/>
  <c r="X8" i="8" s="1"/>
  <c r="P8" i="8"/>
  <c r="Q8" i="8" s="1"/>
  <c r="V8" i="8" s="1"/>
  <c r="Z9" i="8"/>
  <c r="W9" i="8"/>
  <c r="U9" i="8"/>
  <c r="T9" i="8"/>
  <c r="S9" i="8"/>
  <c r="Y9" i="8" s="1"/>
  <c r="R9" i="8"/>
  <c r="X9" i="8" s="1"/>
  <c r="P9" i="8"/>
  <c r="Q9" i="8" s="1"/>
  <c r="V9" i="8" s="1"/>
  <c r="Z10" i="8"/>
  <c r="W10" i="8"/>
  <c r="U10" i="8"/>
  <c r="T10" i="8"/>
  <c r="S10" i="8"/>
  <c r="Y10" i="8" s="1"/>
  <c r="R10" i="8"/>
  <c r="X10" i="8" s="1"/>
  <c r="P10" i="8"/>
  <c r="Q10" i="8" s="1"/>
  <c r="V10" i="8" s="1"/>
  <c r="Z5" i="8"/>
  <c r="W5" i="8"/>
  <c r="U5" i="8"/>
  <c r="T5" i="8"/>
  <c r="S5" i="8"/>
  <c r="Y5" i="8" s="1"/>
  <c r="R5" i="8"/>
  <c r="X5" i="8" s="1"/>
  <c r="Q5" i="8"/>
  <c r="V5" i="8" s="1"/>
  <c r="P5" i="8"/>
  <c r="Z28" i="8"/>
  <c r="W28" i="8"/>
  <c r="U28" i="8"/>
  <c r="T28" i="8"/>
  <c r="S28" i="8"/>
  <c r="Y28" i="8" s="1"/>
  <c r="R28" i="8"/>
  <c r="X28" i="8" s="1"/>
  <c r="P28" i="8"/>
  <c r="Q28" i="8" s="1"/>
  <c r="V28" i="8" s="1"/>
  <c r="Z27" i="8"/>
  <c r="W27" i="8"/>
  <c r="U27" i="8"/>
  <c r="T27" i="8"/>
  <c r="S27" i="8"/>
  <c r="Y27" i="8" s="1"/>
  <c r="R27" i="8"/>
  <c r="X27" i="8" s="1"/>
  <c r="P27" i="8"/>
  <c r="Q27" i="8" s="1"/>
  <c r="V27" i="8" s="1"/>
  <c r="Z30" i="8"/>
  <c r="W30" i="8"/>
  <c r="U30" i="8"/>
  <c r="T30" i="8"/>
  <c r="S30" i="8"/>
  <c r="Y30" i="8" s="1"/>
  <c r="R30" i="8"/>
  <c r="X30" i="8" s="1"/>
  <c r="P30" i="8"/>
  <c r="Q30" i="8" s="1"/>
  <c r="V30" i="8" s="1"/>
  <c r="Z35" i="8"/>
  <c r="W35" i="8"/>
  <c r="U35" i="8"/>
  <c r="T35" i="8"/>
  <c r="S35" i="8"/>
  <c r="Y35" i="8" s="1"/>
  <c r="R35" i="8"/>
  <c r="X35" i="8" s="1"/>
  <c r="P35" i="8"/>
  <c r="Q35" i="8" s="1"/>
  <c r="V35" i="8" s="1"/>
  <c r="Z34" i="8"/>
  <c r="W34" i="8"/>
  <c r="U34" i="8"/>
  <c r="T34" i="8"/>
  <c r="S34" i="8"/>
  <c r="Y34" i="8" s="1"/>
  <c r="R34" i="8"/>
  <c r="X34" i="8" s="1"/>
  <c r="P34" i="8"/>
  <c r="Q34" i="8" s="1"/>
  <c r="V34" i="8" s="1"/>
  <c r="Z33" i="8"/>
  <c r="W33" i="8"/>
  <c r="U33" i="8"/>
  <c r="T33" i="8"/>
  <c r="S33" i="8"/>
  <c r="Y33" i="8" s="1"/>
  <c r="R33" i="8"/>
  <c r="X33" i="8" s="1"/>
  <c r="P33" i="8"/>
  <c r="Q33" i="8" s="1"/>
  <c r="V33" i="8" s="1"/>
  <c r="Z32" i="8"/>
  <c r="W32" i="8"/>
  <c r="U32" i="8"/>
  <c r="T32" i="8"/>
  <c r="S32" i="8"/>
  <c r="Y32" i="8" s="1"/>
  <c r="R32" i="8"/>
  <c r="X32" i="8" s="1"/>
  <c r="P32" i="8"/>
  <c r="Q32" i="8" s="1"/>
  <c r="V32" i="8" s="1"/>
  <c r="Z31" i="8"/>
  <c r="W31" i="8"/>
  <c r="U31" i="8"/>
  <c r="T31" i="8"/>
  <c r="S31" i="8"/>
  <c r="Y31" i="8" s="1"/>
  <c r="R31" i="8"/>
  <c r="X31" i="8" s="1"/>
  <c r="P31" i="8"/>
  <c r="Q31" i="8" s="1"/>
  <c r="V31" i="8" s="1"/>
  <c r="Z29" i="8"/>
  <c r="W29" i="8"/>
  <c r="U29" i="8"/>
  <c r="T29" i="8"/>
  <c r="S29" i="8"/>
  <c r="Y29" i="8" s="1"/>
  <c r="R29" i="8"/>
  <c r="X29" i="8" s="1"/>
  <c r="P29" i="8"/>
  <c r="Q29" i="8" s="1"/>
  <c r="V29" i="8" s="1"/>
  <c r="Z36" i="7"/>
  <c r="W36" i="7"/>
  <c r="U36" i="7"/>
  <c r="T36" i="7"/>
  <c r="S36" i="7"/>
  <c r="Y36" i="7" s="1"/>
  <c r="R36" i="7"/>
  <c r="X36" i="7" s="1"/>
  <c r="Q36" i="7"/>
  <c r="V36" i="7" s="1"/>
  <c r="P36" i="7"/>
  <c r="Z19" i="7"/>
  <c r="W19" i="7"/>
  <c r="U19" i="7"/>
  <c r="T19" i="7"/>
  <c r="S19" i="7"/>
  <c r="Y19" i="7" s="1"/>
  <c r="R19" i="7"/>
  <c r="X19" i="7" s="1"/>
  <c r="P19" i="7"/>
  <c r="Q19" i="7" s="1"/>
  <c r="V19" i="7" s="1"/>
  <c r="Z16" i="7"/>
  <c r="W16" i="7"/>
  <c r="U16" i="7"/>
  <c r="T16" i="7"/>
  <c r="S16" i="7"/>
  <c r="Y16" i="7" s="1"/>
  <c r="R16" i="7"/>
  <c r="X16" i="7" s="1"/>
  <c r="P16" i="7"/>
  <c r="Q16" i="7" s="1"/>
  <c r="V16" i="7" s="1"/>
  <c r="Z18" i="7"/>
  <c r="W18" i="7"/>
  <c r="U18" i="7"/>
  <c r="T18" i="7"/>
  <c r="S18" i="7"/>
  <c r="Y18" i="7" s="1"/>
  <c r="R18" i="7"/>
  <c r="X18" i="7" s="1"/>
  <c r="P18" i="7"/>
  <c r="Q18" i="7" s="1"/>
  <c r="V18" i="7" s="1"/>
  <c r="Z17" i="7"/>
  <c r="X17" i="7"/>
  <c r="W17" i="7"/>
  <c r="U17" i="7"/>
  <c r="T17" i="7"/>
  <c r="S17" i="7"/>
  <c r="Y17" i="7" s="1"/>
  <c r="R17" i="7"/>
  <c r="P17" i="7"/>
  <c r="Q17" i="7" s="1"/>
  <c r="V17" i="7" s="1"/>
  <c r="Z13" i="7"/>
  <c r="W13" i="7"/>
  <c r="U13" i="7"/>
  <c r="T13" i="7"/>
  <c r="S13" i="7"/>
  <c r="Y13" i="7" s="1"/>
  <c r="R13" i="7"/>
  <c r="X13" i="7" s="1"/>
  <c r="P13" i="7"/>
  <c r="Q13" i="7" s="1"/>
  <c r="V13" i="7" s="1"/>
  <c r="Z14" i="7"/>
  <c r="W14" i="7"/>
  <c r="U14" i="7"/>
  <c r="T14" i="7"/>
  <c r="S14" i="7"/>
  <c r="Y14" i="7" s="1"/>
  <c r="R14" i="7"/>
  <c r="X14" i="7" s="1"/>
  <c r="P14" i="7"/>
  <c r="Q14" i="7" s="1"/>
  <c r="V14" i="7" s="1"/>
  <c r="Z15" i="7"/>
  <c r="W15" i="7"/>
  <c r="U15" i="7"/>
  <c r="T15" i="7"/>
  <c r="S15" i="7"/>
  <c r="Y15" i="7" s="1"/>
  <c r="R15" i="7"/>
  <c r="X15" i="7" s="1"/>
  <c r="P15" i="7"/>
  <c r="Q15" i="7" s="1"/>
  <c r="V15" i="7" s="1"/>
  <c r="Z12" i="7"/>
  <c r="W12" i="7"/>
  <c r="U12" i="7"/>
  <c r="T12" i="7"/>
  <c r="S12" i="7"/>
  <c r="Y12" i="7" s="1"/>
  <c r="R12" i="7"/>
  <c r="X12" i="7" s="1"/>
  <c r="P12" i="7"/>
  <c r="Q12" i="7" s="1"/>
  <c r="V12" i="7" s="1"/>
  <c r="Z25" i="7"/>
  <c r="W25" i="7"/>
  <c r="U25" i="7"/>
  <c r="T25" i="7"/>
  <c r="S25" i="7"/>
  <c r="Y25" i="7" s="1"/>
  <c r="R25" i="7"/>
  <c r="X25" i="7" s="1"/>
  <c r="P25" i="7"/>
  <c r="Q25" i="7" s="1"/>
  <c r="V25" i="7" s="1"/>
  <c r="Z26" i="7"/>
  <c r="W26" i="7"/>
  <c r="U26" i="7"/>
  <c r="T26" i="7"/>
  <c r="S26" i="7"/>
  <c r="Y26" i="7" s="1"/>
  <c r="R26" i="7"/>
  <c r="X26" i="7" s="1"/>
  <c r="P26" i="7"/>
  <c r="Q26" i="7" s="1"/>
  <c r="V26" i="7" s="1"/>
  <c r="Z21" i="7"/>
  <c r="W21" i="7"/>
  <c r="U21" i="7"/>
  <c r="T21" i="7"/>
  <c r="S21" i="7"/>
  <c r="Y21" i="7" s="1"/>
  <c r="R21" i="7"/>
  <c r="X21" i="7" s="1"/>
  <c r="P21" i="7"/>
  <c r="Q21" i="7" s="1"/>
  <c r="V21" i="7" s="1"/>
  <c r="Z24" i="7"/>
  <c r="W24" i="7"/>
  <c r="U24" i="7"/>
  <c r="T24" i="7"/>
  <c r="S24" i="7"/>
  <c r="Y24" i="7" s="1"/>
  <c r="R24" i="7"/>
  <c r="X24" i="7" s="1"/>
  <c r="P24" i="7"/>
  <c r="Q24" i="7" s="1"/>
  <c r="V24" i="7" s="1"/>
  <c r="Z23" i="7"/>
  <c r="W23" i="7"/>
  <c r="U23" i="7"/>
  <c r="T23" i="7"/>
  <c r="S23" i="7"/>
  <c r="Y23" i="7" s="1"/>
  <c r="R23" i="7"/>
  <c r="X23" i="7" s="1"/>
  <c r="P23" i="7"/>
  <c r="Q23" i="7" s="1"/>
  <c r="V23" i="7" s="1"/>
  <c r="Z22" i="7"/>
  <c r="W22" i="7"/>
  <c r="U22" i="7"/>
  <c r="T22" i="7"/>
  <c r="S22" i="7"/>
  <c r="Y22" i="7" s="1"/>
  <c r="R22" i="7"/>
  <c r="X22" i="7" s="1"/>
  <c r="P22" i="7"/>
  <c r="Q22" i="7" s="1"/>
  <c r="V22" i="7" s="1"/>
  <c r="Z20" i="7"/>
  <c r="W20" i="7"/>
  <c r="U20" i="7"/>
  <c r="T20" i="7"/>
  <c r="S20" i="7"/>
  <c r="Y20" i="7" s="1"/>
  <c r="R20" i="7"/>
  <c r="X20" i="7" s="1"/>
  <c r="P20" i="7"/>
  <c r="Q20" i="7" s="1"/>
  <c r="V20" i="7" s="1"/>
  <c r="Z3" i="7"/>
  <c r="Y3" i="7"/>
  <c r="W3" i="7"/>
  <c r="U3" i="7"/>
  <c r="T3" i="7"/>
  <c r="S3" i="7"/>
  <c r="R3" i="7"/>
  <c r="X3" i="7" s="1"/>
  <c r="P3" i="7"/>
  <c r="Q3" i="7" s="1"/>
  <c r="V3" i="7" s="1"/>
  <c r="Z6" i="7"/>
  <c r="W6" i="7"/>
  <c r="U6" i="7"/>
  <c r="T6" i="7"/>
  <c r="S6" i="7"/>
  <c r="Y6" i="7" s="1"/>
  <c r="R6" i="7"/>
  <c r="X6" i="7" s="1"/>
  <c r="P6" i="7"/>
  <c r="Q6" i="7" s="1"/>
  <c r="V6" i="7" s="1"/>
  <c r="Z4" i="7"/>
  <c r="W4" i="7"/>
  <c r="U4" i="7"/>
  <c r="T4" i="7"/>
  <c r="S4" i="7"/>
  <c r="Y4" i="7" s="1"/>
  <c r="R4" i="7"/>
  <c r="X4" i="7" s="1"/>
  <c r="P4" i="7"/>
  <c r="Q4" i="7" s="1"/>
  <c r="V4" i="7" s="1"/>
  <c r="Z11" i="7"/>
  <c r="W11" i="7"/>
  <c r="U11" i="7"/>
  <c r="T11" i="7"/>
  <c r="S11" i="7"/>
  <c r="Y11" i="7" s="1"/>
  <c r="R11" i="7"/>
  <c r="X11" i="7" s="1"/>
  <c r="P11" i="7"/>
  <c r="Q11" i="7" s="1"/>
  <c r="V11" i="7" s="1"/>
  <c r="Z7" i="7"/>
  <c r="W7" i="7"/>
  <c r="U7" i="7"/>
  <c r="T7" i="7"/>
  <c r="S7" i="7"/>
  <c r="Y7" i="7" s="1"/>
  <c r="R7" i="7"/>
  <c r="X7" i="7" s="1"/>
  <c r="P7" i="7"/>
  <c r="Q7" i="7" s="1"/>
  <c r="V7" i="7" s="1"/>
  <c r="Z8" i="7"/>
  <c r="W8" i="7"/>
  <c r="U8" i="7"/>
  <c r="T8" i="7"/>
  <c r="S8" i="7"/>
  <c r="Y8" i="7" s="1"/>
  <c r="R8" i="7"/>
  <c r="X8" i="7" s="1"/>
  <c r="P8" i="7"/>
  <c r="Q8" i="7" s="1"/>
  <c r="V8" i="7" s="1"/>
  <c r="Z9" i="7"/>
  <c r="W9" i="7"/>
  <c r="U9" i="7"/>
  <c r="T9" i="7"/>
  <c r="S9" i="7"/>
  <c r="Y9" i="7" s="1"/>
  <c r="R9" i="7"/>
  <c r="X9" i="7" s="1"/>
  <c r="P9" i="7"/>
  <c r="Q9" i="7" s="1"/>
  <c r="V9" i="7" s="1"/>
  <c r="Z10" i="7"/>
  <c r="W10" i="7"/>
  <c r="U10" i="7"/>
  <c r="T10" i="7"/>
  <c r="S10" i="7"/>
  <c r="Y10" i="7" s="1"/>
  <c r="R10" i="7"/>
  <c r="X10" i="7" s="1"/>
  <c r="P10" i="7"/>
  <c r="Q10" i="7" s="1"/>
  <c r="V10" i="7" s="1"/>
  <c r="Z5" i="7"/>
  <c r="W5" i="7"/>
  <c r="U5" i="7"/>
  <c r="T5" i="7"/>
  <c r="S5" i="7"/>
  <c r="Y5" i="7" s="1"/>
  <c r="R5" i="7"/>
  <c r="X5" i="7" s="1"/>
  <c r="P5" i="7"/>
  <c r="Q5" i="7" s="1"/>
  <c r="V5" i="7" s="1"/>
  <c r="Z28" i="7"/>
  <c r="W28" i="7"/>
  <c r="U28" i="7"/>
  <c r="T28" i="7"/>
  <c r="S28" i="7"/>
  <c r="Y28" i="7" s="1"/>
  <c r="R28" i="7"/>
  <c r="X28" i="7" s="1"/>
  <c r="P28" i="7"/>
  <c r="Q28" i="7" s="1"/>
  <c r="V28" i="7" s="1"/>
  <c r="Z27" i="7"/>
  <c r="W27" i="7"/>
  <c r="U27" i="7"/>
  <c r="T27" i="7"/>
  <c r="S27" i="7"/>
  <c r="Y27" i="7" s="1"/>
  <c r="R27" i="7"/>
  <c r="X27" i="7" s="1"/>
  <c r="P27" i="7"/>
  <c r="Q27" i="7" s="1"/>
  <c r="V27" i="7" s="1"/>
  <c r="Z30" i="7"/>
  <c r="W30" i="7"/>
  <c r="U30" i="7"/>
  <c r="T30" i="7"/>
  <c r="S30" i="7"/>
  <c r="Y30" i="7" s="1"/>
  <c r="R30" i="7"/>
  <c r="X30" i="7" s="1"/>
  <c r="P30" i="7"/>
  <c r="Q30" i="7" s="1"/>
  <c r="V30" i="7" s="1"/>
  <c r="Z35" i="7"/>
  <c r="W35" i="7"/>
  <c r="U35" i="7"/>
  <c r="T35" i="7"/>
  <c r="S35" i="7"/>
  <c r="Y35" i="7" s="1"/>
  <c r="R35" i="7"/>
  <c r="X35" i="7" s="1"/>
  <c r="P35" i="7"/>
  <c r="Q35" i="7" s="1"/>
  <c r="V35" i="7" s="1"/>
  <c r="Z34" i="7"/>
  <c r="W34" i="7"/>
  <c r="U34" i="7"/>
  <c r="T34" i="7"/>
  <c r="S34" i="7"/>
  <c r="Y34" i="7" s="1"/>
  <c r="R34" i="7"/>
  <c r="X34" i="7" s="1"/>
  <c r="P34" i="7"/>
  <c r="Q34" i="7" s="1"/>
  <c r="V34" i="7" s="1"/>
  <c r="Z33" i="7"/>
  <c r="W33" i="7"/>
  <c r="U33" i="7"/>
  <c r="T33" i="7"/>
  <c r="S33" i="7"/>
  <c r="Y33" i="7" s="1"/>
  <c r="R33" i="7"/>
  <c r="X33" i="7" s="1"/>
  <c r="P33" i="7"/>
  <c r="Q33" i="7" s="1"/>
  <c r="V33" i="7" s="1"/>
  <c r="Z32" i="7"/>
  <c r="W32" i="7"/>
  <c r="U32" i="7"/>
  <c r="T32" i="7"/>
  <c r="S32" i="7"/>
  <c r="Y32" i="7" s="1"/>
  <c r="R32" i="7"/>
  <c r="X32" i="7" s="1"/>
  <c r="P32" i="7"/>
  <c r="Q32" i="7" s="1"/>
  <c r="V32" i="7" s="1"/>
  <c r="Z31" i="7"/>
  <c r="W31" i="7"/>
  <c r="U31" i="7"/>
  <c r="T31" i="7"/>
  <c r="S31" i="7"/>
  <c r="Y31" i="7" s="1"/>
  <c r="R31" i="7"/>
  <c r="X31" i="7" s="1"/>
  <c r="P31" i="7"/>
  <c r="Q31" i="7" s="1"/>
  <c r="V31" i="7" s="1"/>
  <c r="Z29" i="7"/>
  <c r="W29" i="7"/>
  <c r="U29" i="7"/>
  <c r="T29" i="7"/>
  <c r="S29" i="7"/>
  <c r="Y29" i="7" s="1"/>
  <c r="R29" i="7"/>
  <c r="X29" i="7" s="1"/>
  <c r="P29" i="7"/>
  <c r="Q29" i="7" s="1"/>
  <c r="V29" i="7" s="1"/>
  <c r="Z36" i="6"/>
  <c r="W36" i="6"/>
  <c r="U36" i="6"/>
  <c r="T36" i="6"/>
  <c r="S36" i="6"/>
  <c r="Y36" i="6" s="1"/>
  <c r="R36" i="6"/>
  <c r="X36" i="6" s="1"/>
  <c r="Q36" i="6"/>
  <c r="V36" i="6" s="1"/>
  <c r="P36" i="6"/>
  <c r="Z19" i="6"/>
  <c r="W19" i="6"/>
  <c r="U19" i="6"/>
  <c r="T19" i="6"/>
  <c r="S19" i="6"/>
  <c r="Y19" i="6" s="1"/>
  <c r="R19" i="6"/>
  <c r="X19" i="6" s="1"/>
  <c r="P19" i="6"/>
  <c r="Q19" i="6" s="1"/>
  <c r="V19" i="6" s="1"/>
  <c r="Z16" i="6"/>
  <c r="W16" i="6"/>
  <c r="U16" i="6"/>
  <c r="T16" i="6"/>
  <c r="S16" i="6"/>
  <c r="Y16" i="6" s="1"/>
  <c r="R16" i="6"/>
  <c r="X16" i="6" s="1"/>
  <c r="P16" i="6"/>
  <c r="Q16" i="6" s="1"/>
  <c r="V16" i="6" s="1"/>
  <c r="Z18" i="6"/>
  <c r="W18" i="6"/>
  <c r="U18" i="6"/>
  <c r="T18" i="6"/>
  <c r="S18" i="6"/>
  <c r="Y18" i="6" s="1"/>
  <c r="R18" i="6"/>
  <c r="X18" i="6" s="1"/>
  <c r="P18" i="6"/>
  <c r="Q18" i="6" s="1"/>
  <c r="V18" i="6" s="1"/>
  <c r="Z17" i="6"/>
  <c r="W17" i="6"/>
  <c r="U17" i="6"/>
  <c r="T17" i="6"/>
  <c r="S17" i="6"/>
  <c r="Y17" i="6" s="1"/>
  <c r="R17" i="6"/>
  <c r="X17" i="6" s="1"/>
  <c r="P17" i="6"/>
  <c r="Q17" i="6" s="1"/>
  <c r="V17" i="6" s="1"/>
  <c r="Z13" i="6"/>
  <c r="W13" i="6"/>
  <c r="U13" i="6"/>
  <c r="T13" i="6"/>
  <c r="S13" i="6"/>
  <c r="Y13" i="6" s="1"/>
  <c r="R13" i="6"/>
  <c r="X13" i="6" s="1"/>
  <c r="P13" i="6"/>
  <c r="Q13" i="6" s="1"/>
  <c r="V13" i="6" s="1"/>
  <c r="Z14" i="6"/>
  <c r="W14" i="6"/>
  <c r="U14" i="6"/>
  <c r="T14" i="6"/>
  <c r="S14" i="6"/>
  <c r="Y14" i="6" s="1"/>
  <c r="R14" i="6"/>
  <c r="X14" i="6" s="1"/>
  <c r="P14" i="6"/>
  <c r="Q14" i="6" s="1"/>
  <c r="V14" i="6" s="1"/>
  <c r="Z15" i="6"/>
  <c r="W15" i="6"/>
  <c r="U15" i="6"/>
  <c r="T15" i="6"/>
  <c r="S15" i="6"/>
  <c r="Y15" i="6" s="1"/>
  <c r="R15" i="6"/>
  <c r="X15" i="6" s="1"/>
  <c r="P15" i="6"/>
  <c r="Q15" i="6" s="1"/>
  <c r="V15" i="6" s="1"/>
  <c r="Z12" i="6"/>
  <c r="W12" i="6"/>
  <c r="U12" i="6"/>
  <c r="T12" i="6"/>
  <c r="S12" i="6"/>
  <c r="Y12" i="6" s="1"/>
  <c r="R12" i="6"/>
  <c r="X12" i="6" s="1"/>
  <c r="P12" i="6"/>
  <c r="Q12" i="6" s="1"/>
  <c r="V12" i="6" s="1"/>
  <c r="Z25" i="6"/>
  <c r="W25" i="6"/>
  <c r="U25" i="6"/>
  <c r="T25" i="6"/>
  <c r="S25" i="6"/>
  <c r="Y25" i="6" s="1"/>
  <c r="R25" i="6"/>
  <c r="X25" i="6" s="1"/>
  <c r="P25" i="6"/>
  <c r="Q25" i="6" s="1"/>
  <c r="V25" i="6" s="1"/>
  <c r="Z26" i="6"/>
  <c r="W26" i="6"/>
  <c r="U26" i="6"/>
  <c r="T26" i="6"/>
  <c r="S26" i="6"/>
  <c r="Y26" i="6" s="1"/>
  <c r="R26" i="6"/>
  <c r="X26" i="6" s="1"/>
  <c r="P26" i="6"/>
  <c r="Q26" i="6" s="1"/>
  <c r="V26" i="6" s="1"/>
  <c r="Z21" i="6"/>
  <c r="W21" i="6"/>
  <c r="U21" i="6"/>
  <c r="T21" i="6"/>
  <c r="S21" i="6"/>
  <c r="Y21" i="6" s="1"/>
  <c r="R21" i="6"/>
  <c r="X21" i="6" s="1"/>
  <c r="P21" i="6"/>
  <c r="Q21" i="6" s="1"/>
  <c r="V21" i="6" s="1"/>
  <c r="Z24" i="6"/>
  <c r="W24" i="6"/>
  <c r="U24" i="6"/>
  <c r="T24" i="6"/>
  <c r="S24" i="6"/>
  <c r="Y24" i="6" s="1"/>
  <c r="R24" i="6"/>
  <c r="X24" i="6" s="1"/>
  <c r="P24" i="6"/>
  <c r="Q24" i="6" s="1"/>
  <c r="V24" i="6" s="1"/>
  <c r="Z23" i="6"/>
  <c r="W23" i="6"/>
  <c r="U23" i="6"/>
  <c r="T23" i="6"/>
  <c r="S23" i="6"/>
  <c r="Y23" i="6" s="1"/>
  <c r="R23" i="6"/>
  <c r="X23" i="6" s="1"/>
  <c r="P23" i="6"/>
  <c r="Q23" i="6" s="1"/>
  <c r="V23" i="6" s="1"/>
  <c r="Z22" i="6"/>
  <c r="W22" i="6"/>
  <c r="U22" i="6"/>
  <c r="T22" i="6"/>
  <c r="S22" i="6"/>
  <c r="Y22" i="6" s="1"/>
  <c r="R22" i="6"/>
  <c r="X22" i="6" s="1"/>
  <c r="P22" i="6"/>
  <c r="Q22" i="6" s="1"/>
  <c r="V22" i="6" s="1"/>
  <c r="Z20" i="6"/>
  <c r="W20" i="6"/>
  <c r="U20" i="6"/>
  <c r="T20" i="6"/>
  <c r="S20" i="6"/>
  <c r="Y20" i="6" s="1"/>
  <c r="R20" i="6"/>
  <c r="X20" i="6" s="1"/>
  <c r="P20" i="6"/>
  <c r="Q20" i="6" s="1"/>
  <c r="V20" i="6" s="1"/>
  <c r="Z3" i="6"/>
  <c r="W3" i="6"/>
  <c r="U3" i="6"/>
  <c r="T3" i="6"/>
  <c r="S3" i="6"/>
  <c r="Y3" i="6" s="1"/>
  <c r="R3" i="6"/>
  <c r="X3" i="6" s="1"/>
  <c r="P3" i="6"/>
  <c r="Q3" i="6" s="1"/>
  <c r="V3" i="6" s="1"/>
  <c r="Z6" i="6"/>
  <c r="W6" i="6"/>
  <c r="U6" i="6"/>
  <c r="T6" i="6"/>
  <c r="S6" i="6"/>
  <c r="Y6" i="6" s="1"/>
  <c r="R6" i="6"/>
  <c r="X6" i="6" s="1"/>
  <c r="P6" i="6"/>
  <c r="Q6" i="6" s="1"/>
  <c r="V6" i="6" s="1"/>
  <c r="Z4" i="6"/>
  <c r="W4" i="6"/>
  <c r="U4" i="6"/>
  <c r="T4" i="6"/>
  <c r="S4" i="6"/>
  <c r="Y4" i="6" s="1"/>
  <c r="R4" i="6"/>
  <c r="X4" i="6" s="1"/>
  <c r="P4" i="6"/>
  <c r="Q4" i="6" s="1"/>
  <c r="V4" i="6" s="1"/>
  <c r="Z11" i="6"/>
  <c r="W11" i="6"/>
  <c r="U11" i="6"/>
  <c r="T11" i="6"/>
  <c r="S11" i="6"/>
  <c r="Y11" i="6" s="1"/>
  <c r="R11" i="6"/>
  <c r="X11" i="6" s="1"/>
  <c r="P11" i="6"/>
  <c r="Q11" i="6" s="1"/>
  <c r="V11" i="6" s="1"/>
  <c r="Z7" i="6"/>
  <c r="W7" i="6"/>
  <c r="U7" i="6"/>
  <c r="T7" i="6"/>
  <c r="S7" i="6"/>
  <c r="Y7" i="6" s="1"/>
  <c r="R7" i="6"/>
  <c r="X7" i="6" s="1"/>
  <c r="P7" i="6"/>
  <c r="Q7" i="6" s="1"/>
  <c r="V7" i="6" s="1"/>
  <c r="Z8" i="6"/>
  <c r="W8" i="6"/>
  <c r="U8" i="6"/>
  <c r="T8" i="6"/>
  <c r="S8" i="6"/>
  <c r="Y8" i="6" s="1"/>
  <c r="R8" i="6"/>
  <c r="X8" i="6" s="1"/>
  <c r="P8" i="6"/>
  <c r="Q8" i="6" s="1"/>
  <c r="V8" i="6" s="1"/>
  <c r="Z9" i="6"/>
  <c r="W9" i="6"/>
  <c r="U9" i="6"/>
  <c r="T9" i="6"/>
  <c r="S9" i="6"/>
  <c r="Y9" i="6" s="1"/>
  <c r="R9" i="6"/>
  <c r="X9" i="6" s="1"/>
  <c r="P9" i="6"/>
  <c r="Q9" i="6" s="1"/>
  <c r="V9" i="6" s="1"/>
  <c r="Z10" i="6"/>
  <c r="W10" i="6"/>
  <c r="U10" i="6"/>
  <c r="T10" i="6"/>
  <c r="S10" i="6"/>
  <c r="Y10" i="6" s="1"/>
  <c r="R10" i="6"/>
  <c r="X10" i="6" s="1"/>
  <c r="P10" i="6"/>
  <c r="Q10" i="6" s="1"/>
  <c r="V10" i="6" s="1"/>
  <c r="Z5" i="6"/>
  <c r="W5" i="6"/>
  <c r="U5" i="6"/>
  <c r="T5" i="6"/>
  <c r="S5" i="6"/>
  <c r="Y5" i="6" s="1"/>
  <c r="R5" i="6"/>
  <c r="X5" i="6" s="1"/>
  <c r="Q5" i="6"/>
  <c r="V5" i="6" s="1"/>
  <c r="P5" i="6"/>
  <c r="Z28" i="6"/>
  <c r="W28" i="6"/>
  <c r="U28" i="6"/>
  <c r="T28" i="6"/>
  <c r="S28" i="6"/>
  <c r="Y28" i="6" s="1"/>
  <c r="R28" i="6"/>
  <c r="X28" i="6" s="1"/>
  <c r="P28" i="6"/>
  <c r="Q28" i="6" s="1"/>
  <c r="V28" i="6" s="1"/>
  <c r="Z27" i="6"/>
  <c r="W27" i="6"/>
  <c r="U27" i="6"/>
  <c r="T27" i="6"/>
  <c r="S27" i="6"/>
  <c r="Y27" i="6" s="1"/>
  <c r="R27" i="6"/>
  <c r="X27" i="6" s="1"/>
  <c r="P27" i="6"/>
  <c r="Q27" i="6" s="1"/>
  <c r="V27" i="6" s="1"/>
  <c r="Z30" i="6"/>
  <c r="W30" i="6"/>
  <c r="U30" i="6"/>
  <c r="T30" i="6"/>
  <c r="S30" i="6"/>
  <c r="Y30" i="6" s="1"/>
  <c r="R30" i="6"/>
  <c r="X30" i="6" s="1"/>
  <c r="P30" i="6"/>
  <c r="Q30" i="6" s="1"/>
  <c r="V30" i="6" s="1"/>
  <c r="Z35" i="6"/>
  <c r="W35" i="6"/>
  <c r="U35" i="6"/>
  <c r="T35" i="6"/>
  <c r="S35" i="6"/>
  <c r="Y35" i="6" s="1"/>
  <c r="R35" i="6"/>
  <c r="X35" i="6" s="1"/>
  <c r="P35" i="6"/>
  <c r="Q35" i="6" s="1"/>
  <c r="V35" i="6" s="1"/>
  <c r="Z34" i="6"/>
  <c r="W34" i="6"/>
  <c r="U34" i="6"/>
  <c r="T34" i="6"/>
  <c r="S34" i="6"/>
  <c r="Y34" i="6" s="1"/>
  <c r="R34" i="6"/>
  <c r="X34" i="6" s="1"/>
  <c r="Q34" i="6"/>
  <c r="V34" i="6" s="1"/>
  <c r="P34" i="6"/>
  <c r="Z33" i="6"/>
  <c r="W33" i="6"/>
  <c r="U33" i="6"/>
  <c r="T33" i="6"/>
  <c r="S33" i="6"/>
  <c r="Y33" i="6" s="1"/>
  <c r="R33" i="6"/>
  <c r="X33" i="6" s="1"/>
  <c r="P33" i="6"/>
  <c r="Q33" i="6" s="1"/>
  <c r="V33" i="6" s="1"/>
  <c r="Z32" i="6"/>
  <c r="Y32" i="6"/>
  <c r="W32" i="6"/>
  <c r="U32" i="6"/>
  <c r="T32" i="6"/>
  <c r="S32" i="6"/>
  <c r="R32" i="6"/>
  <c r="X32" i="6" s="1"/>
  <c r="P32" i="6"/>
  <c r="Q32" i="6" s="1"/>
  <c r="V32" i="6" s="1"/>
  <c r="Z31" i="6"/>
  <c r="W31" i="6"/>
  <c r="U31" i="6"/>
  <c r="T31" i="6"/>
  <c r="S31" i="6"/>
  <c r="Y31" i="6" s="1"/>
  <c r="R31" i="6"/>
  <c r="X31" i="6" s="1"/>
  <c r="P31" i="6"/>
  <c r="Q31" i="6" s="1"/>
  <c r="V31" i="6" s="1"/>
  <c r="Z29" i="6"/>
  <c r="W29" i="6"/>
  <c r="U29" i="6"/>
  <c r="T29" i="6"/>
  <c r="S29" i="6"/>
  <c r="Y29" i="6" s="1"/>
  <c r="R29" i="6"/>
  <c r="X29" i="6" s="1"/>
  <c r="P29" i="6"/>
  <c r="Q29" i="6" s="1"/>
  <c r="V29" i="6" s="1"/>
  <c r="Z36" i="5"/>
  <c r="W36" i="5"/>
  <c r="U36" i="5"/>
  <c r="T36" i="5"/>
  <c r="S36" i="5"/>
  <c r="Y36" i="5" s="1"/>
  <c r="R36" i="5"/>
  <c r="X36" i="5" s="1"/>
  <c r="Q36" i="5"/>
  <c r="V36" i="5" s="1"/>
  <c r="P36" i="5"/>
  <c r="Z35" i="5"/>
  <c r="W35" i="5"/>
  <c r="U35" i="5"/>
  <c r="T35" i="5"/>
  <c r="S35" i="5"/>
  <c r="Y35" i="5" s="1"/>
  <c r="R35" i="5"/>
  <c r="X35" i="5" s="1"/>
  <c r="Q35" i="5"/>
  <c r="V35" i="5" s="1"/>
  <c r="P35" i="5"/>
  <c r="Z34" i="5"/>
  <c r="W34" i="5"/>
  <c r="U34" i="5"/>
  <c r="T34" i="5"/>
  <c r="S34" i="5"/>
  <c r="Y34" i="5" s="1"/>
  <c r="R34" i="5"/>
  <c r="X34" i="5" s="1"/>
  <c r="P34" i="5"/>
  <c r="Q34" i="5" s="1"/>
  <c r="V34" i="5" s="1"/>
  <c r="Z18" i="5"/>
  <c r="W18" i="5"/>
  <c r="U18" i="5"/>
  <c r="T18" i="5"/>
  <c r="S18" i="5"/>
  <c r="Y18" i="5" s="1"/>
  <c r="R18" i="5"/>
  <c r="X18" i="5" s="1"/>
  <c r="P18" i="5"/>
  <c r="Q18" i="5" s="1"/>
  <c r="V18" i="5" s="1"/>
  <c r="Z15" i="5"/>
  <c r="W15" i="5"/>
  <c r="U15" i="5"/>
  <c r="T15" i="5"/>
  <c r="S15" i="5"/>
  <c r="Y15" i="5" s="1"/>
  <c r="R15" i="5"/>
  <c r="X15" i="5" s="1"/>
  <c r="P15" i="5"/>
  <c r="Q15" i="5" s="1"/>
  <c r="V15" i="5" s="1"/>
  <c r="Z17" i="5"/>
  <c r="W17" i="5"/>
  <c r="U17" i="5"/>
  <c r="T17" i="5"/>
  <c r="S17" i="5"/>
  <c r="Y17" i="5" s="1"/>
  <c r="R17" i="5"/>
  <c r="X17" i="5" s="1"/>
  <c r="P17" i="5"/>
  <c r="Q17" i="5" s="1"/>
  <c r="V17" i="5" s="1"/>
  <c r="Z16" i="5"/>
  <c r="W16" i="5"/>
  <c r="U16" i="5"/>
  <c r="T16" i="5"/>
  <c r="S16" i="5"/>
  <c r="Y16" i="5" s="1"/>
  <c r="R16" i="5"/>
  <c r="X16" i="5" s="1"/>
  <c r="P16" i="5"/>
  <c r="Q16" i="5" s="1"/>
  <c r="V16" i="5" s="1"/>
  <c r="Z13" i="5"/>
  <c r="Y13" i="5"/>
  <c r="W13" i="5"/>
  <c r="U13" i="5"/>
  <c r="T13" i="5"/>
  <c r="S13" i="5"/>
  <c r="R13" i="5"/>
  <c r="X13" i="5" s="1"/>
  <c r="P13" i="5"/>
  <c r="Q13" i="5" s="1"/>
  <c r="V13" i="5" s="1"/>
  <c r="Z14" i="5"/>
  <c r="X14" i="5"/>
  <c r="W14" i="5"/>
  <c r="U14" i="5"/>
  <c r="T14" i="5"/>
  <c r="S14" i="5"/>
  <c r="Y14" i="5" s="1"/>
  <c r="R14" i="5"/>
  <c r="P14" i="5"/>
  <c r="Q14" i="5" s="1"/>
  <c r="V14" i="5" s="1"/>
  <c r="Z12" i="5"/>
  <c r="W12" i="5"/>
  <c r="U12" i="5"/>
  <c r="T12" i="5"/>
  <c r="S12" i="5"/>
  <c r="Y12" i="5" s="1"/>
  <c r="R12" i="5"/>
  <c r="X12" i="5" s="1"/>
  <c r="P12" i="5"/>
  <c r="Q12" i="5" s="1"/>
  <c r="V12" i="5" s="1"/>
  <c r="Z24" i="5"/>
  <c r="W24" i="5"/>
  <c r="U24" i="5"/>
  <c r="T24" i="5"/>
  <c r="S24" i="5"/>
  <c r="Y24" i="5" s="1"/>
  <c r="R24" i="5"/>
  <c r="X24" i="5" s="1"/>
  <c r="P24" i="5"/>
  <c r="Q24" i="5" s="1"/>
  <c r="V24" i="5" s="1"/>
  <c r="Z25" i="5"/>
  <c r="W25" i="5"/>
  <c r="U25" i="5"/>
  <c r="T25" i="5"/>
  <c r="S25" i="5"/>
  <c r="Y25" i="5" s="1"/>
  <c r="R25" i="5"/>
  <c r="X25" i="5" s="1"/>
  <c r="P25" i="5"/>
  <c r="Q25" i="5" s="1"/>
  <c r="V25" i="5" s="1"/>
  <c r="Z20" i="5"/>
  <c r="W20" i="5"/>
  <c r="U20" i="5"/>
  <c r="T20" i="5"/>
  <c r="S20" i="5"/>
  <c r="Y20" i="5" s="1"/>
  <c r="R20" i="5"/>
  <c r="X20" i="5" s="1"/>
  <c r="P20" i="5"/>
  <c r="Q20" i="5" s="1"/>
  <c r="V20" i="5" s="1"/>
  <c r="Z23" i="5"/>
  <c r="W23" i="5"/>
  <c r="U23" i="5"/>
  <c r="T23" i="5"/>
  <c r="S23" i="5"/>
  <c r="Y23" i="5" s="1"/>
  <c r="R23" i="5"/>
  <c r="X23" i="5" s="1"/>
  <c r="P23" i="5"/>
  <c r="Q23" i="5" s="1"/>
  <c r="V23" i="5" s="1"/>
  <c r="Z22" i="5"/>
  <c r="W22" i="5"/>
  <c r="U22" i="5"/>
  <c r="T22" i="5"/>
  <c r="S22" i="5"/>
  <c r="Y22" i="5" s="1"/>
  <c r="R22" i="5"/>
  <c r="X22" i="5" s="1"/>
  <c r="P22" i="5"/>
  <c r="Q22" i="5" s="1"/>
  <c r="V22" i="5" s="1"/>
  <c r="Z21" i="5"/>
  <c r="W21" i="5"/>
  <c r="U21" i="5"/>
  <c r="T21" i="5"/>
  <c r="S21" i="5"/>
  <c r="Y21" i="5" s="1"/>
  <c r="R21" i="5"/>
  <c r="X21" i="5" s="1"/>
  <c r="P21" i="5"/>
  <c r="Q21" i="5" s="1"/>
  <c r="V21" i="5" s="1"/>
  <c r="Z19" i="5"/>
  <c r="W19" i="5"/>
  <c r="U19" i="5"/>
  <c r="T19" i="5"/>
  <c r="S19" i="5"/>
  <c r="Y19" i="5" s="1"/>
  <c r="R19" i="5"/>
  <c r="X19" i="5" s="1"/>
  <c r="P19" i="5"/>
  <c r="Q19" i="5" s="1"/>
  <c r="V19" i="5" s="1"/>
  <c r="Z3" i="5"/>
  <c r="W3" i="5"/>
  <c r="U3" i="5"/>
  <c r="T3" i="5"/>
  <c r="S3" i="5"/>
  <c r="Y3" i="5" s="1"/>
  <c r="R3" i="5"/>
  <c r="X3" i="5" s="1"/>
  <c r="P3" i="5"/>
  <c r="Q3" i="5" s="1"/>
  <c r="V3" i="5" s="1"/>
  <c r="Z6" i="5"/>
  <c r="W6" i="5"/>
  <c r="U6" i="5"/>
  <c r="T6" i="5"/>
  <c r="S6" i="5"/>
  <c r="Y6" i="5" s="1"/>
  <c r="R6" i="5"/>
  <c r="X6" i="5" s="1"/>
  <c r="P6" i="5"/>
  <c r="Q6" i="5" s="1"/>
  <c r="V6" i="5" s="1"/>
  <c r="Z4" i="5"/>
  <c r="W4" i="5"/>
  <c r="U4" i="5"/>
  <c r="T4" i="5"/>
  <c r="S4" i="5"/>
  <c r="Y4" i="5" s="1"/>
  <c r="R4" i="5"/>
  <c r="X4" i="5" s="1"/>
  <c r="P4" i="5"/>
  <c r="Q4" i="5" s="1"/>
  <c r="V4" i="5" s="1"/>
  <c r="Z11" i="5"/>
  <c r="W11" i="5"/>
  <c r="U11" i="5"/>
  <c r="T11" i="5"/>
  <c r="S11" i="5"/>
  <c r="Y11" i="5" s="1"/>
  <c r="R11" i="5"/>
  <c r="X11" i="5" s="1"/>
  <c r="P11" i="5"/>
  <c r="Q11" i="5" s="1"/>
  <c r="V11" i="5" s="1"/>
  <c r="Z7" i="5"/>
  <c r="W7" i="5"/>
  <c r="U7" i="5"/>
  <c r="T7" i="5"/>
  <c r="S7" i="5"/>
  <c r="Y7" i="5" s="1"/>
  <c r="R7" i="5"/>
  <c r="X7" i="5" s="1"/>
  <c r="P7" i="5"/>
  <c r="Q7" i="5" s="1"/>
  <c r="V7" i="5" s="1"/>
  <c r="Z8" i="5"/>
  <c r="W8" i="5"/>
  <c r="U8" i="5"/>
  <c r="T8" i="5"/>
  <c r="S8" i="5"/>
  <c r="Y8" i="5" s="1"/>
  <c r="R8" i="5"/>
  <c r="X8" i="5" s="1"/>
  <c r="P8" i="5"/>
  <c r="Q8" i="5" s="1"/>
  <c r="V8" i="5" s="1"/>
  <c r="Z9" i="5"/>
  <c r="W9" i="5"/>
  <c r="U9" i="5"/>
  <c r="T9" i="5"/>
  <c r="S9" i="5"/>
  <c r="Y9" i="5" s="1"/>
  <c r="R9" i="5"/>
  <c r="X9" i="5" s="1"/>
  <c r="P9" i="5"/>
  <c r="Q9" i="5" s="1"/>
  <c r="V9" i="5" s="1"/>
  <c r="Z10" i="5"/>
  <c r="W10" i="5"/>
  <c r="U10" i="5"/>
  <c r="T10" i="5"/>
  <c r="S10" i="5"/>
  <c r="Y10" i="5" s="1"/>
  <c r="R10" i="5"/>
  <c r="X10" i="5" s="1"/>
  <c r="P10" i="5"/>
  <c r="Q10" i="5" s="1"/>
  <c r="V10" i="5" s="1"/>
  <c r="Z5" i="5"/>
  <c r="W5" i="5"/>
  <c r="U5" i="5"/>
  <c r="T5" i="5"/>
  <c r="S5" i="5"/>
  <c r="Y5" i="5" s="1"/>
  <c r="R5" i="5"/>
  <c r="X5" i="5" s="1"/>
  <c r="P5" i="5"/>
  <c r="Q5" i="5" s="1"/>
  <c r="V5" i="5" s="1"/>
  <c r="Z27" i="5"/>
  <c r="W27" i="5"/>
  <c r="U27" i="5"/>
  <c r="T27" i="5"/>
  <c r="S27" i="5"/>
  <c r="Y27" i="5" s="1"/>
  <c r="R27" i="5"/>
  <c r="X27" i="5" s="1"/>
  <c r="P27" i="5"/>
  <c r="Q27" i="5" s="1"/>
  <c r="V27" i="5" s="1"/>
  <c r="Z26" i="5"/>
  <c r="W26" i="5"/>
  <c r="U26" i="5"/>
  <c r="T26" i="5"/>
  <c r="S26" i="5"/>
  <c r="Y26" i="5" s="1"/>
  <c r="R26" i="5"/>
  <c r="X26" i="5" s="1"/>
  <c r="P26" i="5"/>
  <c r="Q26" i="5" s="1"/>
  <c r="V26" i="5" s="1"/>
  <c r="Z28" i="5"/>
  <c r="W28" i="5"/>
  <c r="U28" i="5"/>
  <c r="T28" i="5"/>
  <c r="S28" i="5"/>
  <c r="Y28" i="5" s="1"/>
  <c r="R28" i="5"/>
  <c r="X28" i="5" s="1"/>
  <c r="P28" i="5"/>
  <c r="Q28" i="5" s="1"/>
  <c r="V28" i="5" s="1"/>
  <c r="Z33" i="5"/>
  <c r="W33" i="5"/>
  <c r="U33" i="5"/>
  <c r="T33" i="5"/>
  <c r="S33" i="5"/>
  <c r="Y33" i="5" s="1"/>
  <c r="R33" i="5"/>
  <c r="X33" i="5" s="1"/>
  <c r="P33" i="5"/>
  <c r="Q33" i="5" s="1"/>
  <c r="V33" i="5" s="1"/>
  <c r="Z32" i="5"/>
  <c r="Y32" i="5"/>
  <c r="W32" i="5"/>
  <c r="U32" i="5"/>
  <c r="T32" i="5"/>
  <c r="S32" i="5"/>
  <c r="R32" i="5"/>
  <c r="X32" i="5" s="1"/>
  <c r="P32" i="5"/>
  <c r="Q32" i="5" s="1"/>
  <c r="V32" i="5" s="1"/>
  <c r="Z31" i="5"/>
  <c r="W31" i="5"/>
  <c r="U31" i="5"/>
  <c r="T31" i="5"/>
  <c r="S31" i="5"/>
  <c r="Y31" i="5" s="1"/>
  <c r="R31" i="5"/>
  <c r="X31" i="5" s="1"/>
  <c r="P31" i="5"/>
  <c r="Q31" i="5" s="1"/>
  <c r="V31" i="5" s="1"/>
  <c r="Z30" i="5"/>
  <c r="W30" i="5"/>
  <c r="U30" i="5"/>
  <c r="T30" i="5"/>
  <c r="S30" i="5"/>
  <c r="Y30" i="5" s="1"/>
  <c r="R30" i="5"/>
  <c r="X30" i="5" s="1"/>
  <c r="P30" i="5"/>
  <c r="Q30" i="5" s="1"/>
  <c r="V30" i="5" s="1"/>
  <c r="Z29" i="5"/>
  <c r="Y29" i="5"/>
  <c r="W29" i="5"/>
  <c r="U29" i="5"/>
  <c r="T29" i="5"/>
  <c r="S29" i="5"/>
  <c r="R29" i="5"/>
  <c r="X29" i="5" s="1"/>
  <c r="P29" i="5"/>
  <c r="Q29" i="5" s="1"/>
  <c r="V29" i="5" s="1"/>
  <c r="P36" i="4"/>
  <c r="Q36" i="4" s="1"/>
  <c r="V36" i="4" s="1"/>
  <c r="R36" i="4"/>
  <c r="X36" i="4" s="1"/>
  <c r="S36" i="4"/>
  <c r="Y36" i="4" s="1"/>
  <c r="T36" i="4"/>
  <c r="U36" i="4"/>
  <c r="W36" i="4"/>
  <c r="Z36" i="4"/>
  <c r="S8" i="4"/>
  <c r="Y8" i="4" s="1"/>
  <c r="S7" i="4"/>
  <c r="Y7" i="4" s="1"/>
  <c r="S11" i="4"/>
  <c r="Y11" i="4" s="1"/>
  <c r="R13" i="4"/>
  <c r="X13" i="4" s="1"/>
  <c r="R14" i="4"/>
  <c r="X14" i="4" s="1"/>
  <c r="S15" i="4"/>
  <c r="Y15" i="4" s="1"/>
  <c r="S20" i="4"/>
  <c r="Y20" i="4" s="1"/>
  <c r="Z17" i="4"/>
  <c r="W17" i="4"/>
  <c r="U17" i="4"/>
  <c r="T17" i="4"/>
  <c r="S17" i="4"/>
  <c r="Y17" i="4" s="1"/>
  <c r="R17" i="4"/>
  <c r="X17" i="4" s="1"/>
  <c r="P17" i="4"/>
  <c r="Q17" i="4" s="1"/>
  <c r="V17" i="4" s="1"/>
  <c r="Z23" i="4"/>
  <c r="W23" i="4"/>
  <c r="U23" i="4"/>
  <c r="T23" i="4"/>
  <c r="S23" i="4"/>
  <c r="Y23" i="4" s="1"/>
  <c r="R23" i="4"/>
  <c r="X23" i="4" s="1"/>
  <c r="P23" i="4"/>
  <c r="Q23" i="4" s="1"/>
  <c r="V23" i="4" s="1"/>
  <c r="Z22" i="4"/>
  <c r="W22" i="4"/>
  <c r="U22" i="4"/>
  <c r="T22" i="4"/>
  <c r="S22" i="4"/>
  <c r="Y22" i="4" s="1"/>
  <c r="R22" i="4"/>
  <c r="X22" i="4" s="1"/>
  <c r="P22" i="4"/>
  <c r="Q22" i="4" s="1"/>
  <c r="V22" i="4" s="1"/>
  <c r="Z14" i="4"/>
  <c r="W14" i="4"/>
  <c r="U14" i="4"/>
  <c r="T14" i="4"/>
  <c r="S14" i="4"/>
  <c r="Y14" i="4" s="1"/>
  <c r="P14" i="4"/>
  <c r="Z35" i="4"/>
  <c r="W35" i="4"/>
  <c r="U35" i="4"/>
  <c r="T35" i="4"/>
  <c r="S35" i="4"/>
  <c r="Y35" i="4" s="1"/>
  <c r="R35" i="4"/>
  <c r="X35" i="4" s="1"/>
  <c r="P35" i="4"/>
  <c r="Q35" i="4" s="1"/>
  <c r="V35" i="4" s="1"/>
  <c r="Z20" i="4"/>
  <c r="W20" i="4"/>
  <c r="U20" i="4"/>
  <c r="T20" i="4"/>
  <c r="P20" i="4"/>
  <c r="Z27" i="4"/>
  <c r="W27" i="4"/>
  <c r="U27" i="4"/>
  <c r="T27" i="4"/>
  <c r="S27" i="4"/>
  <c r="Y27" i="4" s="1"/>
  <c r="R27" i="4"/>
  <c r="X27" i="4" s="1"/>
  <c r="P27" i="4"/>
  <c r="Q27" i="4" s="1"/>
  <c r="V27" i="4" s="1"/>
  <c r="Z26" i="4"/>
  <c r="W26" i="4"/>
  <c r="U26" i="4"/>
  <c r="T26" i="4"/>
  <c r="S26" i="4"/>
  <c r="Y26" i="4" s="1"/>
  <c r="R26" i="4"/>
  <c r="X26" i="4" s="1"/>
  <c r="P26" i="4"/>
  <c r="Q26" i="4" s="1"/>
  <c r="V26" i="4" s="1"/>
  <c r="Z4" i="4"/>
  <c r="W4" i="4"/>
  <c r="U4" i="4"/>
  <c r="T4" i="4"/>
  <c r="S4" i="4"/>
  <c r="Y4" i="4" s="1"/>
  <c r="R4" i="4"/>
  <c r="X4" i="4" s="1"/>
  <c r="P4" i="4"/>
  <c r="Q4" i="4" s="1"/>
  <c r="V4" i="4" s="1"/>
  <c r="Z33" i="4"/>
  <c r="W33" i="4"/>
  <c r="U33" i="4"/>
  <c r="T33" i="4"/>
  <c r="S33" i="4"/>
  <c r="Y33" i="4" s="1"/>
  <c r="R33" i="4"/>
  <c r="X33" i="4" s="1"/>
  <c r="P33" i="4"/>
  <c r="Q33" i="4" s="1"/>
  <c r="V33" i="4" s="1"/>
  <c r="Z32" i="4"/>
  <c r="W32" i="4"/>
  <c r="U32" i="4"/>
  <c r="T32" i="4"/>
  <c r="S32" i="4"/>
  <c r="Y32" i="4" s="1"/>
  <c r="R32" i="4"/>
  <c r="X32" i="4" s="1"/>
  <c r="P32" i="4"/>
  <c r="Q32" i="4" s="1"/>
  <c r="V32" i="4" s="1"/>
  <c r="Z7" i="4"/>
  <c r="W7" i="4"/>
  <c r="U7" i="4"/>
  <c r="T7" i="4"/>
  <c r="R7" i="4"/>
  <c r="X7" i="4" s="1"/>
  <c r="P7" i="4"/>
  <c r="Q7" i="4" s="1"/>
  <c r="V7" i="4" s="1"/>
  <c r="Z10" i="4"/>
  <c r="W10" i="4"/>
  <c r="U10" i="4"/>
  <c r="T10" i="4"/>
  <c r="S10" i="4"/>
  <c r="Y10" i="4" s="1"/>
  <c r="R10" i="4"/>
  <c r="X10" i="4" s="1"/>
  <c r="P10" i="4"/>
  <c r="Q10" i="4" s="1"/>
  <c r="V10" i="4" s="1"/>
  <c r="Z30" i="4"/>
  <c r="W30" i="4"/>
  <c r="U30" i="4"/>
  <c r="T30" i="4"/>
  <c r="S30" i="4"/>
  <c r="Y30" i="4" s="1"/>
  <c r="R30" i="4"/>
  <c r="X30" i="4" s="1"/>
  <c r="P30" i="4"/>
  <c r="Q30" i="4" s="1"/>
  <c r="V30" i="4" s="1"/>
  <c r="Z18" i="4"/>
  <c r="W18" i="4"/>
  <c r="U18" i="4"/>
  <c r="T18" i="4"/>
  <c r="S18" i="4"/>
  <c r="Y18" i="4" s="1"/>
  <c r="R18" i="4"/>
  <c r="X18" i="4" s="1"/>
  <c r="P18" i="4"/>
  <c r="Q18" i="4" s="1"/>
  <c r="V18" i="4" s="1"/>
  <c r="Z21" i="4"/>
  <c r="W21" i="4"/>
  <c r="U21" i="4"/>
  <c r="T21" i="4"/>
  <c r="S21" i="4"/>
  <c r="Y21" i="4" s="1"/>
  <c r="R21" i="4"/>
  <c r="X21" i="4" s="1"/>
  <c r="P21" i="4"/>
  <c r="Q21" i="4" s="1"/>
  <c r="V21" i="4" s="1"/>
  <c r="Z28" i="4"/>
  <c r="W28" i="4"/>
  <c r="U28" i="4"/>
  <c r="T28" i="4"/>
  <c r="S28" i="4"/>
  <c r="Y28" i="4" s="1"/>
  <c r="R28" i="4"/>
  <c r="X28" i="4" s="1"/>
  <c r="P28" i="4"/>
  <c r="Q28" i="4" s="1"/>
  <c r="V28" i="4" s="1"/>
  <c r="Z16" i="4"/>
  <c r="W16" i="4"/>
  <c r="U16" i="4"/>
  <c r="T16" i="4"/>
  <c r="S16" i="4"/>
  <c r="Y16" i="4" s="1"/>
  <c r="R16" i="4"/>
  <c r="X16" i="4" s="1"/>
  <c r="P16" i="4"/>
  <c r="Q16" i="4" s="1"/>
  <c r="V16" i="4" s="1"/>
  <c r="Z25" i="4"/>
  <c r="W25" i="4"/>
  <c r="U25" i="4"/>
  <c r="T25" i="4"/>
  <c r="S25" i="4"/>
  <c r="Y25" i="4" s="1"/>
  <c r="R25" i="4"/>
  <c r="X25" i="4" s="1"/>
  <c r="P25" i="4"/>
  <c r="Q25" i="4" s="1"/>
  <c r="V25" i="4" s="1"/>
  <c r="Z8" i="4"/>
  <c r="W8" i="4"/>
  <c r="U8" i="4"/>
  <c r="T8" i="4"/>
  <c r="P8" i="4"/>
  <c r="Z3" i="4"/>
  <c r="W3" i="4"/>
  <c r="U3" i="4"/>
  <c r="T3" i="4"/>
  <c r="S3" i="4"/>
  <c r="Y3" i="4" s="1"/>
  <c r="R3" i="4"/>
  <c r="X3" i="4" s="1"/>
  <c r="P3" i="4"/>
  <c r="Z13" i="4"/>
  <c r="W13" i="4"/>
  <c r="U13" i="4"/>
  <c r="T13" i="4"/>
  <c r="S13" i="4"/>
  <c r="Y13" i="4" s="1"/>
  <c r="P13" i="4"/>
  <c r="Z15" i="4"/>
  <c r="W15" i="4"/>
  <c r="U15" i="4"/>
  <c r="T15" i="4"/>
  <c r="P15" i="4"/>
  <c r="Z11" i="4"/>
  <c r="W11" i="4"/>
  <c r="U11" i="4"/>
  <c r="T11" i="4"/>
  <c r="R11" i="4"/>
  <c r="X11" i="4" s="1"/>
  <c r="P11" i="4"/>
  <c r="Q11" i="4" s="1"/>
  <c r="V11" i="4" s="1"/>
  <c r="Z31" i="4"/>
  <c r="W31" i="4"/>
  <c r="U31" i="4"/>
  <c r="T31" i="4"/>
  <c r="S31" i="4"/>
  <c r="Y31" i="4" s="1"/>
  <c r="R31" i="4"/>
  <c r="X31" i="4" s="1"/>
  <c r="P31" i="4"/>
  <c r="Q31" i="4" s="1"/>
  <c r="V31" i="4" s="1"/>
  <c r="Z34" i="4"/>
  <c r="W34" i="4"/>
  <c r="U34" i="4"/>
  <c r="T34" i="4"/>
  <c r="S34" i="4"/>
  <c r="Y34" i="4" s="1"/>
  <c r="R34" i="4"/>
  <c r="X34" i="4" s="1"/>
  <c r="P34" i="4"/>
  <c r="Q34" i="4" s="1"/>
  <c r="V34" i="4" s="1"/>
  <c r="Z9" i="4"/>
  <c r="W9" i="4"/>
  <c r="U9" i="4"/>
  <c r="T9" i="4"/>
  <c r="S9" i="4"/>
  <c r="Y9" i="4" s="1"/>
  <c r="R9" i="4"/>
  <c r="X9" i="4" s="1"/>
  <c r="P9" i="4"/>
  <c r="Q9" i="4" s="1"/>
  <c r="V9" i="4" s="1"/>
  <c r="Z24" i="4"/>
  <c r="W24" i="4"/>
  <c r="U24" i="4"/>
  <c r="T24" i="4"/>
  <c r="S24" i="4"/>
  <c r="Y24" i="4" s="1"/>
  <c r="R24" i="4"/>
  <c r="X24" i="4" s="1"/>
  <c r="P24" i="4"/>
  <c r="Q24" i="4" s="1"/>
  <c r="V24" i="4" s="1"/>
  <c r="Z5" i="4"/>
  <c r="W5" i="4"/>
  <c r="U5" i="4"/>
  <c r="T5" i="4"/>
  <c r="S5" i="4"/>
  <c r="Y5" i="4" s="1"/>
  <c r="R5" i="4"/>
  <c r="X5" i="4" s="1"/>
  <c r="P5" i="4"/>
  <c r="Q5" i="4" s="1"/>
  <c r="V5" i="4" s="1"/>
  <c r="Z19" i="4"/>
  <c r="W19" i="4"/>
  <c r="U19" i="4"/>
  <c r="T19" i="4"/>
  <c r="S19" i="4"/>
  <c r="Y19" i="4" s="1"/>
  <c r="R19" i="4"/>
  <c r="X19" i="4" s="1"/>
  <c r="P19" i="4"/>
  <c r="Q19" i="4" s="1"/>
  <c r="V19" i="4" s="1"/>
  <c r="Z6" i="4"/>
  <c r="W6" i="4"/>
  <c r="U6" i="4"/>
  <c r="T6" i="4"/>
  <c r="S6" i="4"/>
  <c r="Y6" i="4" s="1"/>
  <c r="R6" i="4"/>
  <c r="X6" i="4" s="1"/>
  <c r="P6" i="4"/>
  <c r="Q6" i="4" s="1"/>
  <c r="V6" i="4" s="1"/>
  <c r="Z29" i="4"/>
  <c r="W29" i="4"/>
  <c r="U29" i="4"/>
  <c r="T29" i="4"/>
  <c r="S29" i="4"/>
  <c r="Y29" i="4" s="1"/>
  <c r="R29" i="4"/>
  <c r="X29" i="4" s="1"/>
  <c r="P29" i="4"/>
  <c r="Q29" i="4" s="1"/>
  <c r="V29" i="4" s="1"/>
  <c r="Z12" i="4"/>
  <c r="W12" i="4"/>
  <c r="U12" i="4"/>
  <c r="T12" i="4"/>
  <c r="S12" i="4"/>
  <c r="Y12" i="4" s="1"/>
  <c r="R12" i="4"/>
  <c r="X12" i="4" s="1"/>
  <c r="P12" i="4"/>
  <c r="Q12" i="4" s="1"/>
  <c r="V12" i="4" s="1"/>
  <c r="Z18" i="3"/>
  <c r="W18" i="3"/>
  <c r="U18" i="3"/>
  <c r="T18" i="3"/>
  <c r="S18" i="3"/>
  <c r="Y18" i="3" s="1"/>
  <c r="R18" i="3"/>
  <c r="X18" i="3" s="1"/>
  <c r="P18" i="3"/>
  <c r="Q18" i="3" s="1"/>
  <c r="V18" i="3" s="1"/>
  <c r="Z27" i="3"/>
  <c r="W27" i="3"/>
  <c r="U27" i="3"/>
  <c r="T27" i="3"/>
  <c r="S27" i="3"/>
  <c r="Y27" i="3" s="1"/>
  <c r="R27" i="3"/>
  <c r="X27" i="3" s="1"/>
  <c r="P27" i="3"/>
  <c r="Q27" i="3" s="1"/>
  <c r="V27" i="3" s="1"/>
  <c r="Z6" i="3"/>
  <c r="W6" i="3"/>
  <c r="U6" i="3"/>
  <c r="T6" i="3"/>
  <c r="S6" i="3"/>
  <c r="Y6" i="3" s="1"/>
  <c r="R6" i="3"/>
  <c r="X6" i="3" s="1"/>
  <c r="P6" i="3"/>
  <c r="Q6" i="3" s="1"/>
  <c r="V6" i="3" s="1"/>
  <c r="Z24" i="3"/>
  <c r="W24" i="3"/>
  <c r="U24" i="3"/>
  <c r="T24" i="3"/>
  <c r="S24" i="3"/>
  <c r="Y24" i="3" s="1"/>
  <c r="R24" i="3"/>
  <c r="X24" i="3" s="1"/>
  <c r="P24" i="3"/>
  <c r="Q24" i="3" s="1"/>
  <c r="V24" i="3" s="1"/>
  <c r="Z7" i="3"/>
  <c r="W7" i="3"/>
  <c r="U7" i="3"/>
  <c r="T7" i="3"/>
  <c r="S7" i="3"/>
  <c r="Y7" i="3" s="1"/>
  <c r="R7" i="3"/>
  <c r="X7" i="3" s="1"/>
  <c r="P7" i="3"/>
  <c r="Q7" i="3" s="1"/>
  <c r="V7" i="3" s="1"/>
  <c r="Z21" i="3"/>
  <c r="W21" i="3"/>
  <c r="U21" i="3"/>
  <c r="T21" i="3"/>
  <c r="S21" i="3"/>
  <c r="Y21" i="3" s="1"/>
  <c r="R21" i="3"/>
  <c r="X21" i="3" s="1"/>
  <c r="P21" i="3"/>
  <c r="Q21" i="3" s="1"/>
  <c r="V21" i="3" s="1"/>
  <c r="Z11" i="3"/>
  <c r="W11" i="3"/>
  <c r="U11" i="3"/>
  <c r="T11" i="3"/>
  <c r="S11" i="3"/>
  <c r="Y11" i="3" s="1"/>
  <c r="R11" i="3"/>
  <c r="X11" i="3" s="1"/>
  <c r="P11" i="3"/>
  <c r="Q11" i="3" s="1"/>
  <c r="V11" i="3" s="1"/>
  <c r="Z26" i="3"/>
  <c r="W26" i="3"/>
  <c r="U26" i="3"/>
  <c r="T26" i="3"/>
  <c r="S26" i="3"/>
  <c r="Y26" i="3" s="1"/>
  <c r="R26" i="3"/>
  <c r="X26" i="3" s="1"/>
  <c r="P26" i="3"/>
  <c r="Q26" i="3" s="1"/>
  <c r="V26" i="3" s="1"/>
  <c r="Z8" i="3"/>
  <c r="W8" i="3"/>
  <c r="U8" i="3"/>
  <c r="T8" i="3"/>
  <c r="S8" i="3"/>
  <c r="Y8" i="3" s="1"/>
  <c r="R8" i="3"/>
  <c r="X8" i="3" s="1"/>
  <c r="P8" i="3"/>
  <c r="Q8" i="3" s="1"/>
  <c r="V8" i="3" s="1"/>
  <c r="Z16" i="3"/>
  <c r="W16" i="3"/>
  <c r="U16" i="3"/>
  <c r="T16" i="3"/>
  <c r="S16" i="3"/>
  <c r="Y16" i="3" s="1"/>
  <c r="R16" i="3"/>
  <c r="X16" i="3" s="1"/>
  <c r="P16" i="3"/>
  <c r="Q16" i="3" s="1"/>
  <c r="V16" i="3" s="1"/>
  <c r="Z31" i="3"/>
  <c r="W31" i="3"/>
  <c r="U31" i="3"/>
  <c r="T31" i="3"/>
  <c r="S31" i="3"/>
  <c r="Y31" i="3" s="1"/>
  <c r="R31" i="3"/>
  <c r="X31" i="3" s="1"/>
  <c r="P31" i="3"/>
  <c r="Q31" i="3" s="1"/>
  <c r="V31" i="3" s="1"/>
  <c r="Z15" i="3"/>
  <c r="W15" i="3"/>
  <c r="U15" i="3"/>
  <c r="T15" i="3"/>
  <c r="S15" i="3"/>
  <c r="Y15" i="3" s="1"/>
  <c r="R15" i="3"/>
  <c r="X15" i="3" s="1"/>
  <c r="P15" i="3"/>
  <c r="Q15" i="3" s="1"/>
  <c r="V15" i="3" s="1"/>
  <c r="Z30" i="3"/>
  <c r="W30" i="3"/>
  <c r="U30" i="3"/>
  <c r="T30" i="3"/>
  <c r="S30" i="3"/>
  <c r="Y30" i="3" s="1"/>
  <c r="R30" i="3"/>
  <c r="X30" i="3" s="1"/>
  <c r="P30" i="3"/>
  <c r="Q30" i="3" s="1"/>
  <c r="V30" i="3" s="1"/>
  <c r="Z23" i="3"/>
  <c r="W23" i="3"/>
  <c r="U23" i="3"/>
  <c r="T23" i="3"/>
  <c r="S23" i="3"/>
  <c r="Y23" i="3" s="1"/>
  <c r="R23" i="3"/>
  <c r="X23" i="3" s="1"/>
  <c r="P23" i="3"/>
  <c r="Q23" i="3" s="1"/>
  <c r="V23" i="3" s="1"/>
  <c r="Z20" i="3"/>
  <c r="W20" i="3"/>
  <c r="U20" i="3"/>
  <c r="T20" i="3"/>
  <c r="S20" i="3"/>
  <c r="Y20" i="3" s="1"/>
  <c r="R20" i="3"/>
  <c r="X20" i="3" s="1"/>
  <c r="P20" i="3"/>
  <c r="Q20" i="3" s="1"/>
  <c r="V20" i="3" s="1"/>
  <c r="Z9" i="3"/>
  <c r="W9" i="3"/>
  <c r="U9" i="3"/>
  <c r="T9" i="3"/>
  <c r="S9" i="3"/>
  <c r="Y9" i="3" s="1"/>
  <c r="R9" i="3"/>
  <c r="X9" i="3" s="1"/>
  <c r="P9" i="3"/>
  <c r="Q9" i="3" s="1"/>
  <c r="V9" i="3" s="1"/>
  <c r="Z12" i="3"/>
  <c r="W12" i="3"/>
  <c r="U12" i="3"/>
  <c r="T12" i="3"/>
  <c r="S12" i="3"/>
  <c r="Y12" i="3" s="1"/>
  <c r="R12" i="3"/>
  <c r="X12" i="3" s="1"/>
  <c r="P12" i="3"/>
  <c r="Q12" i="3" s="1"/>
  <c r="V12" i="3" s="1"/>
  <c r="Z19" i="3"/>
  <c r="W19" i="3"/>
  <c r="U19" i="3"/>
  <c r="T19" i="3"/>
  <c r="S19" i="3"/>
  <c r="Y19" i="3" s="1"/>
  <c r="R19" i="3"/>
  <c r="X19" i="3" s="1"/>
  <c r="P19" i="3"/>
  <c r="Q19" i="3" s="1"/>
  <c r="V19" i="3" s="1"/>
  <c r="Z5" i="3"/>
  <c r="W5" i="3"/>
  <c r="U5" i="3"/>
  <c r="T5" i="3"/>
  <c r="S5" i="3"/>
  <c r="Y5" i="3" s="1"/>
  <c r="R5" i="3"/>
  <c r="X5" i="3" s="1"/>
  <c r="P5" i="3"/>
  <c r="Q5" i="3" s="1"/>
  <c r="V5" i="3" s="1"/>
  <c r="Z17" i="3"/>
  <c r="W17" i="3"/>
  <c r="U17" i="3"/>
  <c r="T17" i="3"/>
  <c r="S17" i="3"/>
  <c r="Y17" i="3" s="1"/>
  <c r="R17" i="3"/>
  <c r="X17" i="3" s="1"/>
  <c r="P17" i="3"/>
  <c r="Q17" i="3" s="1"/>
  <c r="V17" i="3" s="1"/>
  <c r="Z14" i="3"/>
  <c r="W14" i="3"/>
  <c r="U14" i="3"/>
  <c r="T14" i="3"/>
  <c r="S14" i="3"/>
  <c r="Y14" i="3" s="1"/>
  <c r="R14" i="3"/>
  <c r="X14" i="3" s="1"/>
  <c r="P14" i="3"/>
  <c r="Q14" i="3" s="1"/>
  <c r="V14" i="3" s="1"/>
  <c r="Z3" i="3"/>
  <c r="W3" i="3"/>
  <c r="U3" i="3"/>
  <c r="T3" i="3"/>
  <c r="S3" i="3"/>
  <c r="Y3" i="3" s="1"/>
  <c r="R3" i="3"/>
  <c r="X3" i="3" s="1"/>
  <c r="P3" i="3"/>
  <c r="Q3" i="3" s="1"/>
  <c r="V3" i="3" s="1"/>
  <c r="Z25" i="3"/>
  <c r="W25" i="3"/>
  <c r="U25" i="3"/>
  <c r="T25" i="3"/>
  <c r="S25" i="3"/>
  <c r="Y25" i="3" s="1"/>
  <c r="R25" i="3"/>
  <c r="X25" i="3" s="1"/>
  <c r="P25" i="3"/>
  <c r="Q25" i="3" s="1"/>
  <c r="V25" i="3" s="1"/>
  <c r="Z28" i="3"/>
  <c r="W28" i="3"/>
  <c r="U28" i="3"/>
  <c r="T28" i="3"/>
  <c r="S28" i="3"/>
  <c r="Y28" i="3" s="1"/>
  <c r="R28" i="3"/>
  <c r="X28" i="3" s="1"/>
  <c r="P28" i="3"/>
  <c r="Q28" i="3" s="1"/>
  <c r="V28" i="3" s="1"/>
  <c r="Z22" i="3"/>
  <c r="W22" i="3"/>
  <c r="U22" i="3"/>
  <c r="T22" i="3"/>
  <c r="S22" i="3"/>
  <c r="Y22" i="3" s="1"/>
  <c r="R22" i="3"/>
  <c r="X22" i="3" s="1"/>
  <c r="P22" i="3"/>
  <c r="Q22" i="3" s="1"/>
  <c r="V22" i="3" s="1"/>
  <c r="Z4" i="3"/>
  <c r="W4" i="3"/>
  <c r="U4" i="3"/>
  <c r="T4" i="3"/>
  <c r="S4" i="3"/>
  <c r="Y4" i="3" s="1"/>
  <c r="R4" i="3"/>
  <c r="X4" i="3" s="1"/>
  <c r="P4" i="3"/>
  <c r="Q4" i="3" s="1"/>
  <c r="V4" i="3" s="1"/>
  <c r="Z10" i="3"/>
  <c r="W10" i="3"/>
  <c r="U10" i="3"/>
  <c r="T10" i="3"/>
  <c r="S10" i="3"/>
  <c r="Y10" i="3" s="1"/>
  <c r="R10" i="3"/>
  <c r="X10" i="3" s="1"/>
  <c r="P10" i="3"/>
  <c r="Q10" i="3" s="1"/>
  <c r="V10" i="3" s="1"/>
  <c r="Z29" i="3"/>
  <c r="W29" i="3"/>
  <c r="U29" i="3"/>
  <c r="T29" i="3"/>
  <c r="S29" i="3"/>
  <c r="Y29" i="3" s="1"/>
  <c r="R29" i="3"/>
  <c r="X29" i="3" s="1"/>
  <c r="P29" i="3"/>
  <c r="Q29" i="3" s="1"/>
  <c r="V29" i="3" s="1"/>
  <c r="Z13" i="3"/>
  <c r="W13" i="3"/>
  <c r="U13" i="3"/>
  <c r="T13" i="3"/>
  <c r="S13" i="3"/>
  <c r="Y13" i="3" s="1"/>
  <c r="R13" i="3"/>
  <c r="X13" i="3" s="1"/>
  <c r="P13" i="3"/>
  <c r="Q13" i="3" s="1"/>
  <c r="V13" i="3" s="1"/>
  <c r="AA8" i="6" l="1"/>
  <c r="AB8" i="6" s="1"/>
  <c r="AA15" i="6"/>
  <c r="AB15" i="6" s="1"/>
  <c r="AA25" i="7"/>
  <c r="AB25" i="7" s="1"/>
  <c r="AA32" i="7"/>
  <c r="AB32" i="7" s="1"/>
  <c r="AA20" i="9"/>
  <c r="AB20" i="9" s="1"/>
  <c r="AA9" i="8"/>
  <c r="AB9" i="8" s="1"/>
  <c r="AA10" i="9"/>
  <c r="AB10" i="9" s="1"/>
  <c r="AA21" i="9"/>
  <c r="AB21" i="9" s="1"/>
  <c r="AA35" i="9"/>
  <c r="AB35" i="9" s="1"/>
  <c r="AA29" i="8"/>
  <c r="AB29" i="8" s="1"/>
  <c r="AA14" i="8"/>
  <c r="AB14" i="8" s="1"/>
  <c r="AA11" i="8"/>
  <c r="AB11" i="8" s="1"/>
  <c r="AA29" i="7"/>
  <c r="AB29" i="7" s="1"/>
  <c r="AA11" i="6"/>
  <c r="AB11" i="6" s="1"/>
  <c r="AA13" i="6"/>
  <c r="AB13" i="6" s="1"/>
  <c r="AA29" i="6"/>
  <c r="AB29" i="6" s="1"/>
  <c r="AA32" i="6"/>
  <c r="AB32" i="6" s="1"/>
  <c r="AA25" i="6"/>
  <c r="AB25" i="6" s="1"/>
  <c r="AA35" i="5"/>
  <c r="AB35" i="5" s="1"/>
  <c r="AA34" i="5"/>
  <c r="AB34" i="5" s="1"/>
  <c r="AA32" i="5"/>
  <c r="AB32" i="5" s="1"/>
  <c r="AA19" i="9"/>
  <c r="AB19" i="9" s="1"/>
  <c r="AA3" i="9"/>
  <c r="AB3" i="9" s="1"/>
  <c r="AA7" i="9"/>
  <c r="AB7" i="9" s="1"/>
  <c r="AA5" i="9"/>
  <c r="AB5" i="9" s="1"/>
  <c r="AA31" i="9"/>
  <c r="AB31" i="9" s="1"/>
  <c r="AA15" i="9"/>
  <c r="AB15" i="9" s="1"/>
  <c r="AA25" i="9"/>
  <c r="AB25" i="9" s="1"/>
  <c r="AA11" i="9"/>
  <c r="AB11" i="9" s="1"/>
  <c r="AA13" i="9"/>
  <c r="AB13" i="9" s="1"/>
  <c r="AA6" i="9"/>
  <c r="AB6" i="9" s="1"/>
  <c r="AA28" i="9"/>
  <c r="AB28" i="9" s="1"/>
  <c r="AA9" i="9"/>
  <c r="AB9" i="9" s="1"/>
  <c r="AA32" i="9"/>
  <c r="AB32" i="9" s="1"/>
  <c r="AA33" i="9"/>
  <c r="AB33" i="9" s="1"/>
  <c r="AA14" i="9"/>
  <c r="AB14" i="9" s="1"/>
  <c r="AA8" i="9"/>
  <c r="AB8" i="9" s="1"/>
  <c r="AA4" i="9"/>
  <c r="AB4" i="9" s="1"/>
  <c r="AA23" i="9"/>
  <c r="AB23" i="9" s="1"/>
  <c r="AA12" i="9"/>
  <c r="AB12" i="9" s="1"/>
  <c r="AA34" i="9"/>
  <c r="AB34" i="9" s="1"/>
  <c r="AA17" i="9"/>
  <c r="AB17" i="9" s="1"/>
  <c r="AA33" i="8"/>
  <c r="AB33" i="8" s="1"/>
  <c r="AA10" i="8"/>
  <c r="AB10" i="8" s="1"/>
  <c r="AA3" i="8"/>
  <c r="AB3" i="8" s="1"/>
  <c r="AA24" i="8"/>
  <c r="AB24" i="8" s="1"/>
  <c r="AA26" i="8"/>
  <c r="AB26" i="8" s="1"/>
  <c r="AA34" i="8"/>
  <c r="AB34" i="8" s="1"/>
  <c r="AA12" i="8"/>
  <c r="AB12" i="8" s="1"/>
  <c r="AA35" i="8"/>
  <c r="AB35" i="8" s="1"/>
  <c r="AA13" i="8"/>
  <c r="AB13" i="8" s="1"/>
  <c r="AA7" i="8"/>
  <c r="AB7" i="8" s="1"/>
  <c r="AA4" i="8"/>
  <c r="AB4" i="8" s="1"/>
  <c r="AA32" i="8"/>
  <c r="AB32" i="8" s="1"/>
  <c r="AA22" i="8"/>
  <c r="AB22" i="8" s="1"/>
  <c r="AA25" i="8"/>
  <c r="AB25" i="8" s="1"/>
  <c r="AA17" i="8"/>
  <c r="AB17" i="8" s="1"/>
  <c r="AA20" i="8"/>
  <c r="AB20" i="8" s="1"/>
  <c r="AA19" i="8"/>
  <c r="AB19" i="8" s="1"/>
  <c r="AA31" i="8"/>
  <c r="AB31" i="8" s="1"/>
  <c r="AA6" i="8"/>
  <c r="AB6" i="8" s="1"/>
  <c r="AA15" i="8"/>
  <c r="AB15" i="8" s="1"/>
  <c r="AA27" i="8"/>
  <c r="AB27" i="8" s="1"/>
  <c r="AA8" i="8"/>
  <c r="AB8" i="8" s="1"/>
  <c r="AA15" i="7"/>
  <c r="AB15" i="7" s="1"/>
  <c r="AA35" i="7"/>
  <c r="AB35" i="7" s="1"/>
  <c r="AA34" i="7"/>
  <c r="AB34" i="7" s="1"/>
  <c r="AA5" i="7"/>
  <c r="AB5" i="7" s="1"/>
  <c r="AA11" i="7"/>
  <c r="AB11" i="7" s="1"/>
  <c r="AA17" i="7"/>
  <c r="AB17" i="7" s="1"/>
  <c r="AA14" i="7"/>
  <c r="AB14" i="7" s="1"/>
  <c r="AA33" i="7"/>
  <c r="AB33" i="7" s="1"/>
  <c r="AA7" i="7"/>
  <c r="AB7" i="7" s="1"/>
  <c r="AA19" i="7"/>
  <c r="AB19" i="7" s="1"/>
  <c r="AA28" i="7"/>
  <c r="AB28" i="7" s="1"/>
  <c r="AA9" i="7"/>
  <c r="AB9" i="7" s="1"/>
  <c r="AA20" i="7"/>
  <c r="AB20" i="7" s="1"/>
  <c r="AA6" i="7"/>
  <c r="AB6" i="7" s="1"/>
  <c r="AA24" i="7"/>
  <c r="AB24" i="7" s="1"/>
  <c r="AA26" i="7"/>
  <c r="AB26" i="7" s="1"/>
  <c r="AA3" i="7"/>
  <c r="AB3" i="7" s="1"/>
  <c r="AA8" i="7"/>
  <c r="AB8" i="7" s="1"/>
  <c r="AA12" i="7"/>
  <c r="AB12" i="7" s="1"/>
  <c r="AA31" i="7"/>
  <c r="AB31" i="7" s="1"/>
  <c r="AA4" i="7"/>
  <c r="AB4" i="7" s="1"/>
  <c r="AA13" i="7"/>
  <c r="AB13" i="7" s="1"/>
  <c r="AA34" i="6"/>
  <c r="AB34" i="6" s="1"/>
  <c r="AA6" i="6"/>
  <c r="AB6" i="6" s="1"/>
  <c r="AA14" i="6"/>
  <c r="AB14" i="6" s="1"/>
  <c r="AA20" i="6"/>
  <c r="AB20" i="6" s="1"/>
  <c r="AA19" i="6"/>
  <c r="AB19" i="6" s="1"/>
  <c r="AA27" i="6"/>
  <c r="AB27" i="6" s="1"/>
  <c r="AA10" i="6"/>
  <c r="AB10" i="6" s="1"/>
  <c r="AA24" i="6"/>
  <c r="AB24" i="6" s="1"/>
  <c r="AA26" i="6"/>
  <c r="AB26" i="6" s="1"/>
  <c r="AA4" i="6"/>
  <c r="AB4" i="6" s="1"/>
  <c r="AA3" i="6"/>
  <c r="AB3" i="6" s="1"/>
  <c r="AA31" i="6"/>
  <c r="AB31" i="6" s="1"/>
  <c r="AA30" i="6"/>
  <c r="AB30" i="6" s="1"/>
  <c r="AA12" i="6"/>
  <c r="AB12" i="6" s="1"/>
  <c r="AA9" i="6"/>
  <c r="AB9" i="6" s="1"/>
  <c r="AA33" i="6"/>
  <c r="AB33" i="6" s="1"/>
  <c r="AA7" i="6"/>
  <c r="AB7" i="6" s="1"/>
  <c r="AA31" i="5"/>
  <c r="AB31" i="5" s="1"/>
  <c r="AA18" i="5"/>
  <c r="AB18" i="5" s="1"/>
  <c r="AA5" i="5"/>
  <c r="AB5" i="5" s="1"/>
  <c r="AA11" i="5"/>
  <c r="AB11" i="5" s="1"/>
  <c r="AA12" i="5"/>
  <c r="AB12" i="5" s="1"/>
  <c r="AA15" i="5"/>
  <c r="AB15" i="5" s="1"/>
  <c r="AA30" i="5"/>
  <c r="AB30" i="5" s="1"/>
  <c r="AA16" i="5"/>
  <c r="AB16" i="5" s="1"/>
  <c r="AA21" i="5"/>
  <c r="AB21" i="5" s="1"/>
  <c r="AA7" i="5"/>
  <c r="AB7" i="5" s="1"/>
  <c r="AA19" i="5"/>
  <c r="AB19" i="5" s="1"/>
  <c r="AA29" i="5"/>
  <c r="AB29" i="5" s="1"/>
  <c r="AA9" i="5"/>
  <c r="AB9" i="5" s="1"/>
  <c r="AA20" i="5"/>
  <c r="AB20" i="5" s="1"/>
  <c r="AA24" i="5"/>
  <c r="AB24" i="5" s="1"/>
  <c r="AA13" i="5"/>
  <c r="AB13" i="5" s="1"/>
  <c r="AA33" i="5"/>
  <c r="AB33" i="5" s="1"/>
  <c r="AA6" i="5"/>
  <c r="AB6" i="5" s="1"/>
  <c r="AA26" i="5"/>
  <c r="AB26" i="5" s="1"/>
  <c r="AA3" i="5"/>
  <c r="AB3" i="5" s="1"/>
  <c r="AA28" i="5"/>
  <c r="AB28" i="5" s="1"/>
  <c r="AA23" i="5"/>
  <c r="AB23" i="5" s="1"/>
  <c r="AA14" i="5"/>
  <c r="AB14" i="5" s="1"/>
  <c r="AA8" i="5"/>
  <c r="AB8" i="5" s="1"/>
  <c r="AA4" i="5"/>
  <c r="AB4" i="5" s="1"/>
  <c r="AA29" i="9"/>
  <c r="AB29" i="9" s="1"/>
  <c r="AA16" i="9"/>
  <c r="AB16" i="9" s="1"/>
  <c r="AA27" i="9"/>
  <c r="AB27" i="9" s="1"/>
  <c r="AA36" i="9"/>
  <c r="AB36" i="9" s="1"/>
  <c r="AA18" i="9"/>
  <c r="AB18" i="9" s="1"/>
  <c r="AA30" i="9"/>
  <c r="AB30" i="9" s="1"/>
  <c r="AA22" i="9"/>
  <c r="AB22" i="9" s="1"/>
  <c r="AA26" i="9"/>
  <c r="AB26" i="9" s="1"/>
  <c r="AA24" i="9"/>
  <c r="AB24" i="9" s="1"/>
  <c r="AA30" i="8"/>
  <c r="AB30" i="8" s="1"/>
  <c r="AA16" i="8"/>
  <c r="AB16" i="8" s="1"/>
  <c r="AA5" i="8"/>
  <c r="AB5" i="8" s="1"/>
  <c r="AA23" i="8"/>
  <c r="AB23" i="8" s="1"/>
  <c r="AA18" i="8"/>
  <c r="AB18" i="8" s="1"/>
  <c r="AA36" i="8"/>
  <c r="AB36" i="8" s="1"/>
  <c r="AA28" i="8"/>
  <c r="AB28" i="8" s="1"/>
  <c r="AA21" i="8"/>
  <c r="AB21" i="8" s="1"/>
  <c r="AA16" i="7"/>
  <c r="AB16" i="7" s="1"/>
  <c r="AA27" i="7"/>
  <c r="AB27" i="7" s="1"/>
  <c r="AA10" i="7"/>
  <c r="AB10" i="7" s="1"/>
  <c r="AA23" i="7"/>
  <c r="AB23" i="7" s="1"/>
  <c r="AA18" i="7"/>
  <c r="AB18" i="7" s="1"/>
  <c r="AA30" i="7"/>
  <c r="AB30" i="7" s="1"/>
  <c r="AA36" i="7"/>
  <c r="AB36" i="7" s="1"/>
  <c r="AA22" i="7"/>
  <c r="AB22" i="7" s="1"/>
  <c r="AA21" i="7"/>
  <c r="AB21" i="7" s="1"/>
  <c r="AA16" i="6"/>
  <c r="AB16" i="6" s="1"/>
  <c r="AA5" i="6"/>
  <c r="AB5" i="6" s="1"/>
  <c r="AA23" i="6"/>
  <c r="AB23" i="6" s="1"/>
  <c r="AA35" i="6"/>
  <c r="AB35" i="6" s="1"/>
  <c r="AA18" i="6"/>
  <c r="AB18" i="6" s="1"/>
  <c r="AA36" i="6"/>
  <c r="AB36" i="6" s="1"/>
  <c r="AA28" i="6"/>
  <c r="AB28" i="6" s="1"/>
  <c r="AA22" i="6"/>
  <c r="AB22" i="6" s="1"/>
  <c r="AA21" i="6"/>
  <c r="AB21" i="6" s="1"/>
  <c r="AA17" i="6"/>
  <c r="AB17" i="6" s="1"/>
  <c r="AA10" i="5"/>
  <c r="AB10" i="5" s="1"/>
  <c r="AA22" i="5"/>
  <c r="AB22" i="5" s="1"/>
  <c r="AA25" i="5"/>
  <c r="AB25" i="5" s="1"/>
  <c r="AA36" i="5"/>
  <c r="AB36" i="5" s="1"/>
  <c r="AA17" i="5"/>
  <c r="AB17" i="5" s="1"/>
  <c r="AA27" i="5"/>
  <c r="AB27" i="5" s="1"/>
  <c r="AA7" i="3"/>
  <c r="AB7" i="3" s="1"/>
  <c r="AA36" i="4"/>
  <c r="AB36" i="4" s="1"/>
  <c r="Q13" i="4"/>
  <c r="V13" i="4" s="1"/>
  <c r="AA13" i="4" s="1"/>
  <c r="AB13" i="4" s="1"/>
  <c r="Q8" i="4"/>
  <c r="V8" i="4" s="1"/>
  <c r="R8" i="4"/>
  <c r="X8" i="4" s="1"/>
  <c r="Q20" i="4"/>
  <c r="V20" i="4" s="1"/>
  <c r="Q15" i="4"/>
  <c r="V15" i="4" s="1"/>
  <c r="R20" i="4"/>
  <c r="X20" i="4" s="1"/>
  <c r="R15" i="4"/>
  <c r="X15" i="4" s="1"/>
  <c r="Q14" i="4"/>
  <c r="V14" i="4" s="1"/>
  <c r="AA14" i="4" s="1"/>
  <c r="AB14" i="4" s="1"/>
  <c r="Q3" i="4"/>
  <c r="V3" i="4" s="1"/>
  <c r="AA3" i="4" s="1"/>
  <c r="AB3" i="4" s="1"/>
  <c r="AA26" i="4"/>
  <c r="AB26" i="4" s="1"/>
  <c r="AA32" i="4"/>
  <c r="AB32" i="4" s="1"/>
  <c r="AA29" i="4"/>
  <c r="AB29" i="4" s="1"/>
  <c r="AA24" i="4"/>
  <c r="AB24" i="4" s="1"/>
  <c r="AA11" i="4"/>
  <c r="AB11" i="4" s="1"/>
  <c r="AA28" i="4"/>
  <c r="AB28" i="4" s="1"/>
  <c r="AA23" i="4"/>
  <c r="AB23" i="4" s="1"/>
  <c r="AA25" i="4"/>
  <c r="AB25" i="4" s="1"/>
  <c r="AA10" i="4"/>
  <c r="AB10" i="4" s="1"/>
  <c r="AA6" i="4"/>
  <c r="AB6" i="4" s="1"/>
  <c r="AA19" i="4"/>
  <c r="AB19" i="4" s="1"/>
  <c r="AA30" i="4"/>
  <c r="AB30" i="4" s="1"/>
  <c r="AA4" i="4"/>
  <c r="AB4" i="4" s="1"/>
  <c r="AA18" i="4"/>
  <c r="AB18" i="4" s="1"/>
  <c r="AA5" i="4"/>
  <c r="AB5" i="4" s="1"/>
  <c r="AA31" i="4"/>
  <c r="AB31" i="4" s="1"/>
  <c r="AA12" i="4"/>
  <c r="AB12" i="4" s="1"/>
  <c r="AA9" i="4"/>
  <c r="AB9" i="4" s="1"/>
  <c r="AA16" i="4"/>
  <c r="AB16" i="4" s="1"/>
  <c r="AA33" i="4"/>
  <c r="AB33" i="4" s="1"/>
  <c r="AA35" i="4"/>
  <c r="AB35" i="4" s="1"/>
  <c r="AA27" i="4"/>
  <c r="AB27" i="4" s="1"/>
  <c r="AA20" i="3"/>
  <c r="AB20" i="3" s="1"/>
  <c r="AA6" i="3"/>
  <c r="AB6" i="3" s="1"/>
  <c r="AA10" i="3"/>
  <c r="AB10" i="3" s="1"/>
  <c r="AA9" i="3"/>
  <c r="AB9" i="3" s="1"/>
  <c r="AA8" i="3"/>
  <c r="AB8" i="3" s="1"/>
  <c r="AA5" i="3"/>
  <c r="AB5" i="3" s="1"/>
  <c r="AA28" i="3"/>
  <c r="AB28" i="3" s="1"/>
  <c r="AA29" i="3"/>
  <c r="AB29" i="3" s="1"/>
  <c r="AA31" i="3"/>
  <c r="AB31" i="3" s="1"/>
  <c r="AA3" i="3"/>
  <c r="AB3" i="3" s="1"/>
  <c r="AA22" i="3"/>
  <c r="AB22" i="3" s="1"/>
  <c r="AA26" i="3"/>
  <c r="AB26" i="3" s="1"/>
  <c r="AA14" i="3"/>
  <c r="AB14" i="3" s="1"/>
  <c r="AA19" i="3"/>
  <c r="AB19" i="3" s="1"/>
  <c r="AA30" i="3"/>
  <c r="AB30" i="3" s="1"/>
  <c r="AA15" i="3"/>
  <c r="AB15" i="3" s="1"/>
  <c r="AA27" i="3"/>
  <c r="AB27" i="3" s="1"/>
  <c r="AA22" i="4"/>
  <c r="AB22" i="4" s="1"/>
  <c r="AA34" i="4"/>
  <c r="AB34" i="4" s="1"/>
  <c r="AA17" i="4"/>
  <c r="AB17" i="4" s="1"/>
  <c r="AA21" i="4"/>
  <c r="AB21" i="4" s="1"/>
  <c r="AA7" i="4"/>
  <c r="AB7" i="4" s="1"/>
  <c r="AA21" i="3"/>
  <c r="AB21" i="3" s="1"/>
  <c r="AA13" i="3"/>
  <c r="AB13" i="3" s="1"/>
  <c r="AA25" i="3"/>
  <c r="AB25" i="3" s="1"/>
  <c r="AA16" i="3"/>
  <c r="AB16" i="3" s="1"/>
  <c r="AA24" i="3"/>
  <c r="AB24" i="3" s="1"/>
  <c r="AA11" i="3"/>
  <c r="AB11" i="3" s="1"/>
  <c r="AA17" i="3"/>
  <c r="AB17" i="3" s="1"/>
  <c r="AA18" i="3"/>
  <c r="AB18" i="3" s="1"/>
  <c r="AA4" i="3"/>
  <c r="AB4" i="3" s="1"/>
  <c r="AA12" i="3"/>
  <c r="AB12" i="3" s="1"/>
  <c r="AA23" i="3"/>
  <c r="AB23" i="3" s="1"/>
  <c r="AA15" i="4" l="1"/>
  <c r="AB15" i="4" s="1"/>
  <c r="AA20" i="4"/>
  <c r="AB20" i="4" s="1"/>
  <c r="AA8" i="4"/>
  <c r="AB8" i="4" s="1"/>
</calcChain>
</file>

<file path=xl/sharedStrings.xml><?xml version="1.0" encoding="utf-8"?>
<sst xmlns="http://schemas.openxmlformats.org/spreadsheetml/2006/main" count="788" uniqueCount="76">
  <si>
    <t>조은영 Cho Eun-Young</t>
  </si>
  <si>
    <t>최경수 Choi Kyung-Soo</t>
  </si>
  <si>
    <t>하시형 Ha Si-Hyoung</t>
  </si>
  <si>
    <t>하해수 Ha, Hae-Su</t>
  </si>
  <si>
    <t>홍정택 Hong, Jung-Taek</t>
  </si>
  <si>
    <t>황종원 Hwang Jong-Won</t>
  </si>
  <si>
    <t>조현우 Jo Hyun Woo</t>
  </si>
  <si>
    <t>정대윤 Jung Dae-Yoon</t>
  </si>
  <si>
    <t>정명수 Jung Myoung-Su</t>
  </si>
  <si>
    <t>김근우 Kim  Geun -Woo</t>
  </si>
  <si>
    <t>김철홍 Kim Cheol-Hong</t>
  </si>
  <si>
    <t>김지현 Kim Ji-Hyun</t>
  </si>
  <si>
    <t>김주찬 Kim Joo-Chan</t>
  </si>
  <si>
    <t>김윤호 Kim Yoon-Ho</t>
  </si>
  <si>
    <t>김효정 Kim, Hyo-Jung</t>
  </si>
  <si>
    <t>김경태 Kim, Kyung-Tae</t>
  </si>
  <si>
    <t>김성식 Kim, Sung-Sik</t>
  </si>
  <si>
    <t>권두현 Kwon Du-Hyun</t>
  </si>
  <si>
    <t>이상민 Lee Sang-Min</t>
  </si>
  <si>
    <t>이소연 Lee So-Yeon</t>
  </si>
  <si>
    <t>이채홍 Lee, Chae-Hong</t>
  </si>
  <si>
    <t>이화춘 Lee, Hwa-Chun</t>
  </si>
  <si>
    <t>이상호 Lee, Sang-Ho</t>
  </si>
  <si>
    <t>임춘식 Lim Chun-Sik</t>
  </si>
  <si>
    <t>임동기 Lim Dong-ki</t>
  </si>
  <si>
    <t>남인성 Nam, In-sung</t>
  </si>
  <si>
    <t>박진성 Park Jin-Sung</t>
  </si>
  <si>
    <t>박선영 Park Sun-young</t>
  </si>
  <si>
    <t>박미성 Park, Mi-Seong</t>
  </si>
  <si>
    <t>신명철 Shin Myung-Chul</t>
  </si>
  <si>
    <t>심학봉 Sim Hak-Bong</t>
  </si>
  <si>
    <t>송승훈 Song, Seung-Hun</t>
  </si>
  <si>
    <t>엄채윤 Um Che-Yun</t>
  </si>
  <si>
    <t>멤버명</t>
    <phoneticPr fontId="6" type="noConversion"/>
  </si>
  <si>
    <t>P 출석</t>
    <phoneticPr fontId="7" type="noConversion"/>
  </si>
  <si>
    <t>A 결석</t>
    <phoneticPr fontId="7" type="noConversion"/>
  </si>
  <si>
    <t>L 지각</t>
    <phoneticPr fontId="7" type="noConversion"/>
  </si>
  <si>
    <t>M 병가</t>
    <phoneticPr fontId="7" type="noConversion"/>
  </si>
  <si>
    <t>S 대리인</t>
    <phoneticPr fontId="7" type="noConversion"/>
  </si>
  <si>
    <t>RGI 내부소개 준 건수</t>
    <phoneticPr fontId="7" type="noConversion"/>
  </si>
  <si>
    <t>RGO 외부소개 준 건수</t>
    <phoneticPr fontId="7" type="noConversion"/>
  </si>
  <si>
    <t>RRI 내부소개 받은 건수</t>
    <phoneticPr fontId="7" type="noConversion"/>
  </si>
  <si>
    <t>RRO 외부소개 받은 건수</t>
    <phoneticPr fontId="7" type="noConversion"/>
  </si>
  <si>
    <t>V 비지터</t>
    <phoneticPr fontId="7" type="noConversion"/>
  </si>
  <si>
    <t>121 원투원</t>
    <phoneticPr fontId="7" type="noConversion"/>
  </si>
  <si>
    <t>Value of Business Given (KRW)
감사장 기여금액</t>
    <phoneticPr fontId="7" type="noConversion"/>
  </si>
  <si>
    <t>Training 
교육참가 점수</t>
    <phoneticPr fontId="7" type="noConversion"/>
  </si>
  <si>
    <t>Referral 리퍼럴</t>
    <phoneticPr fontId="7" type="noConversion"/>
  </si>
  <si>
    <t>Referral/자
주당 리퍼럴</t>
    <phoneticPr fontId="7" type="noConversion"/>
  </si>
  <si>
    <t>Visitor/자
주당 비지터</t>
    <phoneticPr fontId="7" type="noConversion"/>
  </si>
  <si>
    <t>1-2-1/자
주당 1-2-1</t>
    <phoneticPr fontId="7" type="noConversion"/>
  </si>
  <si>
    <t>Absenteeism
결석
(15점)</t>
    <phoneticPr fontId="7" type="noConversion"/>
  </si>
  <si>
    <t>Arriving on Time
정시도착
(10점)</t>
    <phoneticPr fontId="7" type="noConversion"/>
  </si>
  <si>
    <t>Referrals Per Week
주당 리퍼럴
(20점)</t>
    <phoneticPr fontId="7" type="noConversion"/>
  </si>
  <si>
    <t>Thank you for the business
감사장 기여금액
(15점)</t>
    <phoneticPr fontId="7" type="noConversion"/>
  </si>
  <si>
    <t>Avg Visitor per Week
주당 평균 비지터
(20점)</t>
    <phoneticPr fontId="7" type="noConversion"/>
  </si>
  <si>
    <t>121 per week
주당 121
(10점)</t>
    <phoneticPr fontId="7" type="noConversion"/>
  </si>
  <si>
    <t>Skills Training
교육참가
(10점)</t>
    <phoneticPr fontId="7" type="noConversion"/>
  </si>
  <si>
    <t>Total Score
(100점)</t>
    <phoneticPr fontId="5" type="noConversion"/>
  </si>
  <si>
    <t>Traffic Light</t>
    <phoneticPr fontId="5" type="noConversion"/>
  </si>
  <si>
    <t>박슬기 Park Seul-gi</t>
  </si>
  <si>
    <t>파이오니어-수요일</t>
    <phoneticPr fontId="5" type="noConversion"/>
  </si>
  <si>
    <t>이도현 Lee Do-Hyun</t>
  </si>
  <si>
    <t>김진희 Kim Jin-Hee</t>
  </si>
  <si>
    <t>정웅 Jeong, Woong</t>
  </si>
  <si>
    <t>김재석 Kim  Jae-Seouk</t>
  </si>
  <si>
    <t>김경현 Kim, Kyung-Hyun</t>
  </si>
  <si>
    <t>강수빈 Gang Su-Bin</t>
  </si>
  <si>
    <t>정남실 Jung , Nam-Sil</t>
  </si>
  <si>
    <t>구태현 Ku, Tae-Hyun</t>
  </si>
  <si>
    <t>이호명 Lee, Ho-Myeong</t>
  </si>
  <si>
    <t>김주희 Kim Ju-Hee</t>
  </si>
  <si>
    <t>김송주 Kim Song-Ju</t>
  </si>
  <si>
    <t>정상현 Jeong,Sang-Hyun</t>
  </si>
  <si>
    <t>고윤송 Ko Yoon-Song</t>
  </si>
  <si>
    <t>박동혁 Park Dong-Hyuk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</si>
</sst>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_ ;\-0\ "/>
    <numFmt numFmtId="177" formatCode="_-* #,##0_-;\-* #,##0_-;_-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11"/>
      <color indexed="8"/>
      <name val="Calibri"/>
      <family val="2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Calibri"/>
      <family val="2"/>
    </font>
    <font>
      <b/>
      <sz val="10"/>
      <name val="맑은 고딕"/>
      <family val="3"/>
      <charset val="129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7"/>
        <bgColor indexed="64"/>
      </patternFill>
    </fill>
    <fill>
      <patternFill patternType="solid">
        <fgColor rgb="FFFFFAD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2" xfId="3" applyFont="1" applyFill="1" applyBorder="1" applyAlignment="1">
      <alignment horizontal="center" vertical="center" wrapText="1"/>
    </xf>
    <xf numFmtId="41" fontId="4" fillId="5" borderId="2" xfId="1" applyFont="1" applyFill="1" applyBorder="1" applyAlignment="1">
      <alignment horizontal="center" vertical="center" wrapText="1"/>
    </xf>
    <xf numFmtId="176" fontId="4" fillId="5" borderId="2" xfId="4" applyNumberFormat="1" applyFont="1" applyFill="1" applyBorder="1" applyAlignment="1">
      <alignment horizontal="center" vertical="center" textRotation="90" wrapText="1"/>
    </xf>
    <xf numFmtId="0" fontId="9" fillId="6" borderId="3" xfId="2" applyFont="1" applyFill="1" applyBorder="1" applyAlignment="1">
      <alignment horizontal="center" vertical="center" textRotation="90" wrapText="1"/>
    </xf>
    <xf numFmtId="0" fontId="9" fillId="6" borderId="0" xfId="2" applyFont="1" applyFill="1" applyAlignment="1">
      <alignment horizontal="center" vertical="center" textRotation="90" wrapText="1"/>
    </xf>
    <xf numFmtId="0" fontId="9" fillId="6" borderId="2" xfId="2" applyFont="1" applyFill="1" applyBorder="1" applyAlignment="1">
      <alignment horizontal="center" vertical="center" textRotation="90" wrapText="1"/>
    </xf>
    <xf numFmtId="0" fontId="9" fillId="7" borderId="2" xfId="3" applyFont="1" applyFill="1" applyBorder="1" applyAlignment="1">
      <alignment horizontal="center" vertical="center" textRotation="90" wrapText="1"/>
    </xf>
    <xf numFmtId="0" fontId="9" fillId="7" borderId="2" xfId="2" applyFont="1" applyFill="1" applyBorder="1" applyAlignment="1">
      <alignment horizontal="center" vertical="center" textRotation="90" wrapText="1"/>
    </xf>
    <xf numFmtId="177" fontId="10" fillId="8" borderId="0" xfId="4" applyNumberFormat="1" applyFont="1" applyFill="1" applyBorder="1" applyAlignment="1">
      <alignment horizontal="center" vertical="center" wrapText="1"/>
    </xf>
    <xf numFmtId="43" fontId="10" fillId="8" borderId="0" xfId="4" applyFont="1" applyFill="1" applyBorder="1" applyAlignment="1">
      <alignment horizontal="center" vertical="center" wrapText="1"/>
    </xf>
    <xf numFmtId="0" fontId="10" fillId="8" borderId="0" xfId="3" applyFont="1" applyFill="1" applyAlignment="1">
      <alignment horizontal="center" vertical="center"/>
    </xf>
    <xf numFmtId="0" fontId="10" fillId="7" borderId="0" xfId="3" applyFont="1" applyFill="1" applyAlignment="1">
      <alignment horizontal="center" vertical="center"/>
    </xf>
    <xf numFmtId="14" fontId="0" fillId="0" borderId="0" xfId="0" applyNumberFormat="1">
      <alignment vertical="center"/>
    </xf>
    <xf numFmtId="41" fontId="2" fillId="3" borderId="1" xfId="1" applyFont="1" applyFill="1" applyBorder="1" applyAlignment="1">
      <alignment horizontal="right" vertical="center" wrapText="1"/>
    </xf>
    <xf numFmtId="9" fontId="0" fillId="0" borderId="0" xfId="5" applyFont="1">
      <alignment vertical="center"/>
    </xf>
    <xf numFmtId="41" fontId="0" fillId="0" borderId="0" xfId="1" applyFont="1">
      <alignment vertical="center"/>
    </xf>
    <xf numFmtId="0" fontId="0" fillId="9" borderId="0" xfId="0" applyFill="1">
      <alignment vertical="center"/>
    </xf>
    <xf numFmtId="0" fontId="2" fillId="9" borderId="1" xfId="0" applyFont="1" applyFill="1" applyBorder="1" applyAlignment="1">
      <alignment horizontal="right" vertical="center" wrapText="1"/>
    </xf>
    <xf numFmtId="41" fontId="2" fillId="9" borderId="1" xfId="1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right" vertical="center" wrapText="1"/>
    </xf>
    <xf numFmtId="41" fontId="2" fillId="10" borderId="1" xfId="1" applyFont="1" applyFill="1" applyBorder="1" applyAlignment="1">
      <alignment horizontal="right" vertical="center" wrapText="1"/>
    </xf>
    <xf numFmtId="177" fontId="10" fillId="11" borderId="0" xfId="4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right" vertical="center" wrapText="1"/>
    </xf>
    <xf numFmtId="41" fontId="2" fillId="2" borderId="1" xfId="1" applyFont="1" applyFill="1" applyBorder="1" applyAlignment="1">
      <alignment horizontal="right" vertical="center" wrapText="1"/>
    </xf>
    <xf numFmtId="41" fontId="2" fillId="12" borderId="1" xfId="1" applyFont="1" applyFill="1" applyBorder="1" applyAlignment="1">
      <alignment horizontal="right" vertical="center" wrapText="1"/>
    </xf>
    <xf numFmtId="41" fontId="2" fillId="4" borderId="1" xfId="1" applyFont="1" applyFill="1" applyBorder="1" applyAlignment="1">
      <alignment horizontal="right" vertical="center" wrapText="1"/>
    </xf>
    <xf numFmtId="0" fontId="0" fillId="0" borderId="0" xfId="0" applyFill="1" applyAlignment="1">
      <alignment vertical="center"/>
    </xf>
  </cellXfs>
  <cellStyles count="6">
    <cellStyle name="Normal 2" xfId="3" xr:uid="{BB3857E6-801E-49E4-B09C-CC902CD04D52}"/>
    <cellStyle name="Normal_Sheet1 2" xfId="2" xr:uid="{6A6E3269-AA7A-4C2A-8954-8D1E637AA635}"/>
    <cellStyle name="백분율" xfId="5" builtinId="5"/>
    <cellStyle name="쉼표 [0]" xfId="1" builtinId="6"/>
    <cellStyle name="쉼표 2" xfId="4" xr:uid="{7B80F057-F697-4D13-A166-23B26679977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F806-5994-4673-97F2-BD598C1DB9AB}">
  <dimension ref="A1:AB37"/>
  <sheetViews>
    <sheetView tabSelected="1" topLeftCell="A16" workbookViewId="0">
      <selection activeCell="L10" sqref="L10"/>
    </sheetView>
  </sheetViews>
  <sheetFormatPr defaultRowHeight="16.5" x14ac:dyDescent="0.3"/>
  <cols>
    <col min="1" max="1" width="11.125" bestFit="1" customWidth="1"/>
    <col min="3" max="13" width="3.875" customWidth="1"/>
    <col min="14" max="14" width="11" style="20" bestFit="1" customWidth="1"/>
    <col min="15" max="15" width="5.125" customWidth="1"/>
    <col min="16" max="26" width="4.5" customWidth="1"/>
  </cols>
  <sheetData>
    <row r="1" spans="1:28" x14ac:dyDescent="0.3">
      <c r="A1" s="17" t="s">
        <v>61</v>
      </c>
    </row>
    <row r="2" spans="1:28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8" ht="33" customHeight="1" thickBot="1" x14ac:dyDescent="0.35">
      <c r="A3" s="31" t="s">
        <v>74</v>
      </c>
      <c r="B3" s="31"/>
      <c r="C3" s="1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3">
        <f>H3+I3</f>
        <v>0</v>
      </c>
      <c r="Q3" s="14">
        <f>P3/(C3+D3+E3+F3+G3)</f>
        <v>0</v>
      </c>
      <c r="R3" s="14">
        <f>L3/(C3+D3+E3+F3+G3)</f>
        <v>0</v>
      </c>
      <c r="S3" s="14">
        <f>M3/(C3+D3+E3+F3+G3)</f>
        <v>0</v>
      </c>
      <c r="T3" s="15">
        <f>IF(D3&gt;2,0,IF(D3=2,5,IF(D3=1,10,IF(D3&lt;1,15))))</f>
        <v>15</v>
      </c>
      <c r="U3" s="15">
        <f>IF(E3&gt;=2,0,IF(E3=1,5,IF(E3=0,10)))</f>
        <v>10</v>
      </c>
      <c r="V3" s="15">
        <f>IF(Q3&lt;0.5,0,IF(Q3&lt;0.75,5,IF(Q3&lt;1,10,IF(Q3&lt;1.2,15,IF(Q3&gt;=1.2,20)))))</f>
        <v>0</v>
      </c>
      <c r="W3" s="15">
        <f>IF(N3&lt;25000000,0,IF(N3&lt;50000000,5,IF(N3&lt;100000000,10,IF(N3&gt;=100000000,15))))</f>
        <v>0</v>
      </c>
      <c r="X3" s="15">
        <f>IF(R3&lt;0.1,0,IF(R3&lt;0.2,5,IF(R3&lt;0.4,10,IF(R3&lt;0.6,15,IF(R3&gt;=0.6,20)))))</f>
        <v>0</v>
      </c>
      <c r="Y3" s="15">
        <f>IF(S3&lt;1,0,IF(S3&lt;2,5,IF(S3&gt;=2,10)))</f>
        <v>0</v>
      </c>
      <c r="Z3" s="15">
        <f>IF(O3&lt;10,0,IF(O3&lt;20,5,IF(O3&gt;=20,10)))</f>
        <v>0</v>
      </c>
      <c r="AA3" s="16">
        <f>SUM(T3:Z3)</f>
        <v>25</v>
      </c>
      <c r="AB3" s="16" t="str">
        <f>IF(AA3&lt;30,"Grey",IF(AA3&lt;50,"Red",IF(AA3&lt;70,"Amber",IF(AA3&gt;=70,"Green"))))</f>
        <v>Grey</v>
      </c>
    </row>
    <row r="4" spans="1:28" ht="33" customHeight="1" thickBot="1" x14ac:dyDescent="0.35">
      <c r="A4" s="31" t="s">
        <v>17</v>
      </c>
      <c r="B4" s="31"/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2</v>
      </c>
      <c r="I4" s="2">
        <v>2</v>
      </c>
      <c r="J4" s="2">
        <v>0</v>
      </c>
      <c r="K4" s="2">
        <v>2</v>
      </c>
      <c r="L4" s="2">
        <v>0</v>
      </c>
      <c r="M4" s="2">
        <v>4</v>
      </c>
      <c r="N4" s="2">
        <v>1000000</v>
      </c>
      <c r="O4" s="2">
        <v>0</v>
      </c>
      <c r="P4" s="13">
        <f>H4+I4</f>
        <v>4</v>
      </c>
      <c r="Q4" s="14">
        <f>P4/(C4+D4+E4+F4+G4)</f>
        <v>1.3333333333333333</v>
      </c>
      <c r="R4" s="14">
        <f>L4/(C4+D4+E4+F4+G4)</f>
        <v>0</v>
      </c>
      <c r="S4" s="14">
        <f>M4/(C4+D4+E4+F4+G4)</f>
        <v>1.3333333333333333</v>
      </c>
      <c r="T4" s="15">
        <f>IF(D4&gt;2,0,IF(D4=2,5,IF(D4=1,10,IF(D4&lt;1,15))))</f>
        <v>15</v>
      </c>
      <c r="U4" s="15">
        <f>IF(E4&gt;=2,0,IF(E4=1,5,IF(E4=0,10)))</f>
        <v>10</v>
      </c>
      <c r="V4" s="15">
        <f>IF(Q4&lt;0.5,0,IF(Q4&lt;0.75,5,IF(Q4&lt;1,10,IF(Q4&lt;1.2,15,IF(Q4&gt;=1.2,20)))))</f>
        <v>20</v>
      </c>
      <c r="W4" s="15">
        <f>IF(N4&lt;25000000,0,IF(N4&lt;50000000,5,IF(N4&lt;100000000,10,IF(N4&gt;=100000000,15))))</f>
        <v>0</v>
      </c>
      <c r="X4" s="15">
        <f>IF(R4&lt;0.1,0,IF(R4&lt;0.2,5,IF(R4&lt;0.4,10,IF(R4&lt;0.6,15,IF(R4&gt;=0.6,20)))))</f>
        <v>0</v>
      </c>
      <c r="Y4" s="15">
        <f>IF(S4&lt;1,0,IF(S4&lt;2,5,IF(S4&gt;=2,10)))</f>
        <v>5</v>
      </c>
      <c r="Z4" s="15">
        <f>IF(O4&lt;10,0,IF(O4&lt;20,5,IF(O4&gt;=20,10)))</f>
        <v>0</v>
      </c>
      <c r="AA4" s="16">
        <f>SUM(T4:Z4)</f>
        <v>50</v>
      </c>
      <c r="AB4" s="16" t="str">
        <f>IF(AA4&lt;30,"Grey",IF(AA4&lt;50,"Red",IF(AA4&lt;70,"Amber",IF(AA4&gt;=70,"Green"))))</f>
        <v>Amber</v>
      </c>
    </row>
    <row r="5" spans="1:28" ht="17.25" thickBot="1" x14ac:dyDescent="0.35">
      <c r="A5" s="31" t="s">
        <v>15</v>
      </c>
      <c r="B5" s="31"/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2</v>
      </c>
      <c r="J5" s="2">
        <v>3</v>
      </c>
      <c r="K5" s="2">
        <v>24</v>
      </c>
      <c r="L5" s="2">
        <v>0</v>
      </c>
      <c r="M5" s="2">
        <v>9</v>
      </c>
      <c r="N5" s="2">
        <v>23000</v>
      </c>
      <c r="O5" s="2">
        <v>0</v>
      </c>
      <c r="P5" s="13">
        <f>H5+I5</f>
        <v>3</v>
      </c>
      <c r="Q5" s="14">
        <f>P5/(C5+D5+E5+F5+G5)</f>
        <v>1</v>
      </c>
      <c r="R5" s="14">
        <f>L5/(C5+D5+E5+F5+G5)</f>
        <v>0</v>
      </c>
      <c r="S5" s="14">
        <f>M5/(C5+D5+E5+F5+G5)</f>
        <v>3</v>
      </c>
      <c r="T5" s="15">
        <f>IF(D5&gt;2,0,IF(D5=2,5,IF(D5=1,10,IF(D5&lt;1,15))))</f>
        <v>15</v>
      </c>
      <c r="U5" s="15">
        <f>IF(E5&gt;=2,0,IF(E5=1,5,IF(E5=0,10)))</f>
        <v>10</v>
      </c>
      <c r="V5" s="15">
        <f>IF(Q5&lt;0.5,0,IF(Q5&lt;0.75,5,IF(Q5&lt;1,10,IF(Q5&lt;1.2,15,IF(Q5&gt;=1.2,20)))))</f>
        <v>15</v>
      </c>
      <c r="W5" s="15">
        <f>IF(N5&lt;25000000,0,IF(N5&lt;50000000,5,IF(N5&lt;100000000,10,IF(N5&gt;=100000000,15))))</f>
        <v>0</v>
      </c>
      <c r="X5" s="15">
        <f>IF(R5&lt;0.1,0,IF(R5&lt;0.2,5,IF(R5&lt;0.4,10,IF(R5&lt;0.6,15,IF(R5&gt;=0.6,20)))))</f>
        <v>0</v>
      </c>
      <c r="Y5" s="15">
        <f>IF(S5&lt;1,0,IF(S5&lt;2,5,IF(S5&gt;=2,10)))</f>
        <v>10</v>
      </c>
      <c r="Z5" s="15">
        <f>IF(O5&lt;10,0,IF(O5&lt;20,5,IF(O5&gt;=20,10)))</f>
        <v>0</v>
      </c>
      <c r="AA5" s="16">
        <f>SUM(T5:Z5)</f>
        <v>50</v>
      </c>
      <c r="AB5" s="16" t="str">
        <f>IF(AA5&lt;30,"Grey",IF(AA5&lt;50,"Red",IF(AA5&lt;70,"Amber",IF(AA5&gt;=70,"Green"))))</f>
        <v>Amber</v>
      </c>
    </row>
    <row r="6" spans="1:28" ht="17.25" thickBot="1" x14ac:dyDescent="0.35">
      <c r="A6" s="31" t="s">
        <v>9</v>
      </c>
      <c r="B6" s="31"/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3</v>
      </c>
      <c r="I6" s="2">
        <v>4</v>
      </c>
      <c r="J6" s="2">
        <v>4</v>
      </c>
      <c r="K6" s="2">
        <v>2</v>
      </c>
      <c r="L6" s="2">
        <v>0</v>
      </c>
      <c r="M6" s="2">
        <v>2</v>
      </c>
      <c r="N6" s="2">
        <v>1830000</v>
      </c>
      <c r="O6" s="2">
        <v>0</v>
      </c>
      <c r="P6" s="13">
        <f>H6+I6</f>
        <v>7</v>
      </c>
      <c r="Q6" s="14">
        <f>P6/(C6+D6+E6+F6+G6)</f>
        <v>2.3333333333333335</v>
      </c>
      <c r="R6" s="14">
        <f>L6/(C6+D6+E6+F6+G6)</f>
        <v>0</v>
      </c>
      <c r="S6" s="14">
        <f>M6/(C6+D6+E6+F6+G6)</f>
        <v>0.66666666666666663</v>
      </c>
      <c r="T6" s="15">
        <f>IF(D6&gt;2,0,IF(D6=2,5,IF(D6=1,10,IF(D6&lt;1,15))))</f>
        <v>15</v>
      </c>
      <c r="U6" s="15">
        <f>IF(E6&gt;=2,0,IF(E6=1,5,IF(E6=0,10)))</f>
        <v>10</v>
      </c>
      <c r="V6" s="15">
        <f>IF(Q6&lt;0.5,0,IF(Q6&lt;0.75,5,IF(Q6&lt;1,10,IF(Q6&lt;1.2,15,IF(Q6&gt;=1.2,20)))))</f>
        <v>20</v>
      </c>
      <c r="W6" s="15">
        <f>IF(N6&lt;25000000,0,IF(N6&lt;50000000,5,IF(N6&lt;100000000,10,IF(N6&gt;=100000000,15))))</f>
        <v>0</v>
      </c>
      <c r="X6" s="15">
        <f>IF(R6&lt;0.1,0,IF(R6&lt;0.2,5,IF(R6&lt;0.4,10,IF(R6&lt;0.6,15,IF(R6&gt;=0.6,20)))))</f>
        <v>0</v>
      </c>
      <c r="Y6" s="15">
        <f>IF(S6&lt;1,0,IF(S6&lt;2,5,IF(S6&gt;=2,10)))</f>
        <v>0</v>
      </c>
      <c r="Z6" s="15">
        <f>IF(O6&lt;10,0,IF(O6&lt;20,5,IF(O6&gt;=20,10)))</f>
        <v>0</v>
      </c>
      <c r="AA6" s="16">
        <f>SUM(T6:Z6)</f>
        <v>45</v>
      </c>
      <c r="AB6" s="16" t="str">
        <f>IF(AA6&lt;30,"Grey",IF(AA6&lt;50,"Red",IF(AA6&lt;70,"Amber",IF(AA6&gt;=70,"Green"))))</f>
        <v>Red</v>
      </c>
    </row>
    <row r="7" spans="1:28" ht="33" customHeight="1" thickBot="1" x14ac:dyDescent="0.35">
      <c r="A7" s="31" t="s">
        <v>13</v>
      </c>
      <c r="B7" s="31"/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0</v>
      </c>
      <c r="J7" s="2">
        <v>11</v>
      </c>
      <c r="K7" s="2">
        <v>10</v>
      </c>
      <c r="L7" s="2">
        <v>0</v>
      </c>
      <c r="M7" s="2">
        <v>4</v>
      </c>
      <c r="N7" s="2">
        <v>330000</v>
      </c>
      <c r="O7" s="2">
        <v>6</v>
      </c>
      <c r="P7" s="13">
        <f>H7+I7</f>
        <v>3</v>
      </c>
      <c r="Q7" s="14">
        <f>P7/(C7+D7+E7+F7+G7)</f>
        <v>1</v>
      </c>
      <c r="R7" s="14">
        <f>L7/(C7+D7+E7+F7+G7)</f>
        <v>0</v>
      </c>
      <c r="S7" s="14">
        <f>M7/(C7+D7+E7+F7+G7)</f>
        <v>1.3333333333333333</v>
      </c>
      <c r="T7" s="15">
        <f>IF(D7&gt;2,0,IF(D7=2,5,IF(D7=1,10,IF(D7&lt;1,15))))</f>
        <v>15</v>
      </c>
      <c r="U7" s="15">
        <f>IF(E7&gt;=2,0,IF(E7=1,5,IF(E7=0,10)))</f>
        <v>10</v>
      </c>
      <c r="V7" s="15">
        <f>IF(Q7&lt;0.5,0,IF(Q7&lt;0.75,5,IF(Q7&lt;1,10,IF(Q7&lt;1.2,15,IF(Q7&gt;=1.2,20)))))</f>
        <v>15</v>
      </c>
      <c r="W7" s="15">
        <f>IF(N7&lt;25000000,0,IF(N7&lt;50000000,5,IF(N7&lt;100000000,10,IF(N7&gt;=100000000,15))))</f>
        <v>0</v>
      </c>
      <c r="X7" s="15">
        <f>IF(R7&lt;0.1,0,IF(R7&lt;0.2,5,IF(R7&lt;0.4,10,IF(R7&lt;0.6,15,IF(R7&gt;=0.6,20)))))</f>
        <v>0</v>
      </c>
      <c r="Y7" s="15">
        <f>IF(S7&lt;1,0,IF(S7&lt;2,5,IF(S7&gt;=2,10)))</f>
        <v>5</v>
      </c>
      <c r="Z7" s="15">
        <f>IF(O7&lt;10,0,IF(O7&lt;20,5,IF(O7&gt;=20,10)))</f>
        <v>0</v>
      </c>
      <c r="AA7" s="16">
        <f>SUM(T7:Z7)</f>
        <v>45</v>
      </c>
      <c r="AB7" s="16" t="str">
        <f>IF(AA7&lt;30,"Grey",IF(AA7&lt;50,"Red",IF(AA7&lt;70,"Amber",IF(AA7&gt;=70,"Green"))))</f>
        <v>Red</v>
      </c>
    </row>
    <row r="8" spans="1:28" ht="33" customHeight="1" thickBot="1" x14ac:dyDescent="0.35">
      <c r="A8" s="31" t="s">
        <v>12</v>
      </c>
      <c r="B8" s="31"/>
      <c r="C8" s="1">
        <v>3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2</v>
      </c>
      <c r="J8" s="1">
        <v>1</v>
      </c>
      <c r="K8" s="1">
        <v>21</v>
      </c>
      <c r="L8" s="1">
        <v>0</v>
      </c>
      <c r="M8" s="1">
        <v>2</v>
      </c>
      <c r="N8" s="1">
        <v>0</v>
      </c>
      <c r="O8" s="1">
        <v>0</v>
      </c>
      <c r="P8" s="13">
        <f>H8+I8</f>
        <v>3</v>
      </c>
      <c r="Q8" s="14">
        <f>P8/(C8+D8+E8+F8+G8)</f>
        <v>1</v>
      </c>
      <c r="R8" s="14">
        <f>L8/(C8+D8+E8+F8+G8)</f>
        <v>0</v>
      </c>
      <c r="S8" s="14">
        <f>M8/(C8+D8+E8+F8+G8)</f>
        <v>0.66666666666666663</v>
      </c>
      <c r="T8" s="15">
        <f>IF(D8&gt;2,0,IF(D8=2,5,IF(D8=1,10,IF(D8&lt;1,15))))</f>
        <v>15</v>
      </c>
      <c r="U8" s="15">
        <f>IF(E8&gt;=2,0,IF(E8=1,5,IF(E8=0,10)))</f>
        <v>10</v>
      </c>
      <c r="V8" s="15">
        <f>IF(Q8&lt;0.5,0,IF(Q8&lt;0.75,5,IF(Q8&lt;1,10,IF(Q8&lt;1.2,15,IF(Q8&gt;=1.2,20)))))</f>
        <v>15</v>
      </c>
      <c r="W8" s="15">
        <f>IF(N8&lt;25000000,0,IF(N8&lt;50000000,5,IF(N8&lt;100000000,10,IF(N8&gt;=100000000,15))))</f>
        <v>0</v>
      </c>
      <c r="X8" s="15">
        <f>IF(R8&lt;0.1,0,IF(R8&lt;0.2,5,IF(R8&lt;0.4,10,IF(R8&lt;0.6,15,IF(R8&gt;=0.6,20)))))</f>
        <v>0</v>
      </c>
      <c r="Y8" s="15">
        <f>IF(S8&lt;1,0,IF(S8&lt;2,5,IF(S8&gt;=2,10)))</f>
        <v>0</v>
      </c>
      <c r="Z8" s="15">
        <f>IF(O8&lt;10,0,IF(O8&lt;20,5,IF(O8&gt;=20,10)))</f>
        <v>0</v>
      </c>
      <c r="AA8" s="16">
        <f>SUM(T8:Z8)</f>
        <v>40</v>
      </c>
      <c r="AB8" s="16" t="str">
        <f>IF(AA8&lt;30,"Grey",IF(AA8&lt;50,"Red",IF(AA8&lt;70,"Amber",IF(AA8&gt;=70,"Green"))))</f>
        <v>Red</v>
      </c>
    </row>
    <row r="9" spans="1:28" ht="33" customHeight="1" thickBot="1" x14ac:dyDescent="0.35">
      <c r="A9" s="31" t="s">
        <v>11</v>
      </c>
      <c r="B9" s="31"/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4</v>
      </c>
      <c r="J9" s="2">
        <v>1</v>
      </c>
      <c r="K9" s="2">
        <v>10</v>
      </c>
      <c r="L9" s="2">
        <v>0</v>
      </c>
      <c r="M9" s="2">
        <v>5</v>
      </c>
      <c r="N9" s="2">
        <v>110000</v>
      </c>
      <c r="O9" s="2">
        <v>0</v>
      </c>
      <c r="P9" s="13">
        <f>H9+I9</f>
        <v>6</v>
      </c>
      <c r="Q9" s="14">
        <f>P9/(C9+D9+E9+F9+G9)</f>
        <v>2</v>
      </c>
      <c r="R9" s="14">
        <f>L9/(C9+D9+E9+F9+G9)</f>
        <v>0</v>
      </c>
      <c r="S9" s="14">
        <f>M9/(C9+D9+E9+F9+G9)</f>
        <v>1.6666666666666667</v>
      </c>
      <c r="T9" s="15">
        <f>IF(D9&gt;2,0,IF(D9=2,5,IF(D9=1,10,IF(D9&lt;1,15))))</f>
        <v>15</v>
      </c>
      <c r="U9" s="15">
        <f>IF(E9&gt;=2,0,IF(E9=1,5,IF(E9=0,10)))</f>
        <v>10</v>
      </c>
      <c r="V9" s="15">
        <f>IF(Q9&lt;0.5,0,IF(Q9&lt;0.75,5,IF(Q9&lt;1,10,IF(Q9&lt;1.2,15,IF(Q9&gt;=1.2,20)))))</f>
        <v>20</v>
      </c>
      <c r="W9" s="15">
        <f>IF(N9&lt;25000000,0,IF(N9&lt;50000000,5,IF(N9&lt;100000000,10,IF(N9&gt;=100000000,15))))</f>
        <v>0</v>
      </c>
      <c r="X9" s="15">
        <f>IF(R9&lt;0.1,0,IF(R9&lt;0.2,5,IF(R9&lt;0.4,10,IF(R9&lt;0.6,15,IF(R9&gt;=0.6,20)))))</f>
        <v>0</v>
      </c>
      <c r="Y9" s="15">
        <f>IF(S9&lt;1,0,IF(S9&lt;2,5,IF(S9&gt;=2,10)))</f>
        <v>5</v>
      </c>
      <c r="Z9" s="15">
        <f>IF(O9&lt;10,0,IF(O9&lt;20,5,IF(O9&gt;=20,10)))</f>
        <v>0</v>
      </c>
      <c r="AA9" s="16">
        <f>SUM(T9:Z9)</f>
        <v>50</v>
      </c>
      <c r="AB9" s="16" t="str">
        <f>IF(AA9&lt;30,"Grey",IF(AA9&lt;50,"Red",IF(AA9&lt;70,"Amber",IF(AA9&gt;=70,"Green"))))</f>
        <v>Amber</v>
      </c>
    </row>
    <row r="10" spans="1:28" ht="17.25" thickBot="1" x14ac:dyDescent="0.35">
      <c r="A10" s="31" t="s">
        <v>10</v>
      </c>
      <c r="B10" s="31"/>
      <c r="C10" s="1">
        <v>3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7</v>
      </c>
      <c r="J10" s="1">
        <v>0</v>
      </c>
      <c r="K10" s="1">
        <v>2</v>
      </c>
      <c r="L10" s="1">
        <v>0</v>
      </c>
      <c r="M10" s="1">
        <v>5</v>
      </c>
      <c r="N10" s="1">
        <v>36000000</v>
      </c>
      <c r="O10" s="1">
        <v>0</v>
      </c>
      <c r="P10" s="13">
        <f>H10+I10</f>
        <v>8</v>
      </c>
      <c r="Q10" s="14">
        <f>P10/(C10+D10+E10+F10+G10)</f>
        <v>2.6666666666666665</v>
      </c>
      <c r="R10" s="14">
        <f>L10/(C10+D10+E10+F10+G10)</f>
        <v>0</v>
      </c>
      <c r="S10" s="14">
        <f>M10/(C10+D10+E10+F10+G10)</f>
        <v>1.6666666666666667</v>
      </c>
      <c r="T10" s="15">
        <f>IF(D10&gt;2,0,IF(D10=2,5,IF(D10=1,10,IF(D10&lt;1,15))))</f>
        <v>15</v>
      </c>
      <c r="U10" s="15">
        <f>IF(E10&gt;=2,0,IF(E10=1,5,IF(E10=0,10)))</f>
        <v>10</v>
      </c>
      <c r="V10" s="15">
        <f>IF(Q10&lt;0.5,0,IF(Q10&lt;0.75,5,IF(Q10&lt;1,10,IF(Q10&lt;1.2,15,IF(Q10&gt;=1.2,20)))))</f>
        <v>20</v>
      </c>
      <c r="W10" s="15">
        <f>IF(N10&lt;25000000,0,IF(N10&lt;50000000,5,IF(N10&lt;100000000,10,IF(N10&gt;=100000000,15))))</f>
        <v>5</v>
      </c>
      <c r="X10" s="15">
        <f>IF(R10&lt;0.1,0,IF(R10&lt;0.2,5,IF(R10&lt;0.4,10,IF(R10&lt;0.6,15,IF(R10&gt;=0.6,20)))))</f>
        <v>0</v>
      </c>
      <c r="Y10" s="15">
        <f>IF(S10&lt;1,0,IF(S10&lt;2,5,IF(S10&gt;=2,10)))</f>
        <v>5</v>
      </c>
      <c r="Z10" s="15">
        <f>IF(O10&lt;10,0,IF(O10&lt;20,5,IF(O10&gt;=20,10)))</f>
        <v>0</v>
      </c>
      <c r="AA10" s="16">
        <f>SUM(T10:Z10)</f>
        <v>55</v>
      </c>
      <c r="AB10" s="16" t="str">
        <f>IF(AA10&lt;30,"Grey",IF(AA10&lt;50,"Red",IF(AA10&lt;70,"Amber",IF(AA10&gt;=70,"Green"))))</f>
        <v>Amber</v>
      </c>
    </row>
    <row r="11" spans="1:28" ht="33" customHeight="1" thickBot="1" x14ac:dyDescent="0.35">
      <c r="A11" s="31" t="s">
        <v>14</v>
      </c>
      <c r="B11" s="31"/>
      <c r="C11" s="1">
        <v>2</v>
      </c>
      <c r="D11" s="1">
        <v>1</v>
      </c>
      <c r="E11" s="1">
        <v>0</v>
      </c>
      <c r="F11" s="1">
        <v>0</v>
      </c>
      <c r="G11" s="1">
        <v>0</v>
      </c>
      <c r="H11" s="1">
        <v>3</v>
      </c>
      <c r="I11" s="1">
        <v>6</v>
      </c>
      <c r="J11" s="1">
        <v>5</v>
      </c>
      <c r="K11" s="1">
        <v>1</v>
      </c>
      <c r="L11" s="1">
        <v>0</v>
      </c>
      <c r="M11" s="1">
        <v>13</v>
      </c>
      <c r="N11" s="1">
        <v>618000</v>
      </c>
      <c r="O11" s="1">
        <v>2</v>
      </c>
      <c r="P11" s="13">
        <f>H11+I11</f>
        <v>9</v>
      </c>
      <c r="Q11" s="14">
        <f>P11/(C11+D11+E11+F11+G11)</f>
        <v>3</v>
      </c>
      <c r="R11" s="14">
        <f>L11/(C11+D11+E11+F11+G11)</f>
        <v>0</v>
      </c>
      <c r="S11" s="14">
        <f>M11/(C11+D11+E11+F11+G11)</f>
        <v>4.333333333333333</v>
      </c>
      <c r="T11" s="15">
        <f>IF(D11&gt;2,0,IF(D11=2,5,IF(D11=1,10,IF(D11&lt;1,15))))</f>
        <v>10</v>
      </c>
      <c r="U11" s="15">
        <f>IF(E11&gt;=2,0,IF(E11=1,5,IF(E11=0,10)))</f>
        <v>10</v>
      </c>
      <c r="V11" s="15">
        <f>IF(Q11&lt;0.5,0,IF(Q11&lt;0.75,5,IF(Q11&lt;1,10,IF(Q11&lt;1.2,15,IF(Q11&gt;=1.2,20)))))</f>
        <v>20</v>
      </c>
      <c r="W11" s="15">
        <f>IF(N11&lt;25000000,0,IF(N11&lt;50000000,5,IF(N11&lt;100000000,10,IF(N11&gt;=100000000,15))))</f>
        <v>0</v>
      </c>
      <c r="X11" s="15">
        <f>IF(R11&lt;0.1,0,IF(R11&lt;0.2,5,IF(R11&lt;0.4,10,IF(R11&lt;0.6,15,IF(R11&gt;=0.6,20)))))</f>
        <v>0</v>
      </c>
      <c r="Y11" s="15">
        <f>IF(S11&lt;1,0,IF(S11&lt;2,5,IF(S11&gt;=2,10)))</f>
        <v>10</v>
      </c>
      <c r="Z11" s="15">
        <f>IF(O11&lt;10,0,IF(O11&lt;20,5,IF(O11&gt;=20,10)))</f>
        <v>0</v>
      </c>
      <c r="AA11" s="16">
        <f>SUM(T11:Z11)</f>
        <v>50</v>
      </c>
      <c r="AB11" s="16" t="str">
        <f>IF(AA11&lt;30,"Grey",IF(AA11&lt;50,"Red",IF(AA11&lt;70,"Amber",IF(AA11&gt;=70,"Green"))))</f>
        <v>Amber</v>
      </c>
    </row>
    <row r="12" spans="1:28" ht="33" customHeight="1" thickBot="1" x14ac:dyDescent="0.35">
      <c r="A12" s="31" t="s">
        <v>25</v>
      </c>
      <c r="B12" s="31"/>
      <c r="C12" s="2">
        <v>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13">
        <f>H12+I12</f>
        <v>0</v>
      </c>
      <c r="Q12" s="14">
        <f>P12/(C12+D12+E12+F12+G12)</f>
        <v>0</v>
      </c>
      <c r="R12" s="14">
        <f>L12/(C12+D12+E12+F12+G12)</f>
        <v>0</v>
      </c>
      <c r="S12" s="14">
        <f>M12/(C12+D12+E12+F12+G12)</f>
        <v>0</v>
      </c>
      <c r="T12" s="15">
        <f>IF(D12&gt;2,0,IF(D12=2,5,IF(D12=1,10,IF(D12&lt;1,15))))</f>
        <v>15</v>
      </c>
      <c r="U12" s="15">
        <f>IF(E12&gt;=2,0,IF(E12=1,5,IF(E12=0,10)))</f>
        <v>10</v>
      </c>
      <c r="V12" s="15">
        <f>IF(Q12&lt;0.5,0,IF(Q12&lt;0.75,5,IF(Q12&lt;1,10,IF(Q12&lt;1.2,15,IF(Q12&gt;=1.2,20)))))</f>
        <v>0</v>
      </c>
      <c r="W12" s="15">
        <f>IF(N12&lt;25000000,0,IF(N12&lt;50000000,5,IF(N12&lt;100000000,10,IF(N12&gt;=100000000,15))))</f>
        <v>0</v>
      </c>
      <c r="X12" s="15">
        <f>IF(R12&lt;0.1,0,IF(R12&lt;0.2,5,IF(R12&lt;0.4,10,IF(R12&lt;0.6,15,IF(R12&gt;=0.6,20)))))</f>
        <v>0</v>
      </c>
      <c r="Y12" s="15">
        <f>IF(S12&lt;1,0,IF(S12&lt;2,5,IF(S12&gt;=2,10)))</f>
        <v>0</v>
      </c>
      <c r="Z12" s="15">
        <f>IF(O12&lt;10,0,IF(O12&lt;20,5,IF(O12&gt;=20,10)))</f>
        <v>0</v>
      </c>
      <c r="AA12" s="16">
        <f>SUM(T12:Z12)</f>
        <v>25</v>
      </c>
      <c r="AB12" s="16" t="str">
        <f>IF(AA12&lt;30,"Grey",IF(AA12&lt;50,"Red",IF(AA12&lt;70,"Amber",IF(AA12&gt;=70,"Green"))))</f>
        <v>Grey</v>
      </c>
    </row>
    <row r="13" spans="1:28" ht="33" customHeight="1" thickBot="1" x14ac:dyDescent="0.35">
      <c r="A13" s="31" t="s">
        <v>75</v>
      </c>
      <c r="B13" s="31"/>
      <c r="C13" s="1">
        <v>1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3">
        <f>H13+I13</f>
        <v>0</v>
      </c>
      <c r="Q13" s="14">
        <f>P13/(C13+D13+E13+F13+G13)</f>
        <v>0</v>
      </c>
      <c r="R13" s="14">
        <f>L13/(C13+D13+E13+F13+G13)</f>
        <v>0</v>
      </c>
      <c r="S13" s="14">
        <f>M13/(C13+D13+E13+F13+G13)</f>
        <v>0</v>
      </c>
      <c r="T13" s="15">
        <f>IF(D13&gt;2,0,IF(D13=2,5,IF(D13=1,10,IF(D13&lt;1,15))))</f>
        <v>10</v>
      </c>
      <c r="U13" s="15">
        <f>IF(E13&gt;=2,0,IF(E13=1,5,IF(E13=0,10)))</f>
        <v>10</v>
      </c>
      <c r="V13" s="15">
        <f>IF(Q13&lt;0.5,0,IF(Q13&lt;0.75,5,IF(Q13&lt;1,10,IF(Q13&lt;1.2,15,IF(Q13&gt;=1.2,20)))))</f>
        <v>0</v>
      </c>
      <c r="W13" s="15">
        <f>IF(N13&lt;25000000,0,IF(N13&lt;50000000,5,IF(N13&lt;100000000,10,IF(N13&gt;=100000000,15))))</f>
        <v>0</v>
      </c>
      <c r="X13" s="15">
        <f>IF(R13&lt;0.1,0,IF(R13&lt;0.2,5,IF(R13&lt;0.4,10,IF(R13&lt;0.6,15,IF(R13&gt;=0.6,20)))))</f>
        <v>0</v>
      </c>
      <c r="Y13" s="15">
        <f>IF(S13&lt;1,0,IF(S13&lt;2,5,IF(S13&gt;=2,10)))</f>
        <v>0</v>
      </c>
      <c r="Z13" s="15">
        <f>IF(O13&lt;10,0,IF(O13&lt;20,5,IF(O13&gt;=20,10)))</f>
        <v>0</v>
      </c>
      <c r="AA13" s="16">
        <f>SUM(T13:Z13)</f>
        <v>20</v>
      </c>
      <c r="AB13" s="16" t="str">
        <f>IF(AA13&lt;30,"Grey",IF(AA13&lt;50,"Red",IF(AA13&lt;70,"Amber",IF(AA13&gt;=70,"Green"))))</f>
        <v>Grey</v>
      </c>
    </row>
    <row r="14" spans="1:28" ht="17.25" thickBot="1" x14ac:dyDescent="0.35">
      <c r="A14" s="31" t="s">
        <v>28</v>
      </c>
      <c r="B14" s="31"/>
      <c r="C14" s="1">
        <v>3</v>
      </c>
      <c r="D14" s="1">
        <v>0</v>
      </c>
      <c r="E14" s="1">
        <v>0</v>
      </c>
      <c r="F14" s="1">
        <v>0</v>
      </c>
      <c r="G14" s="1">
        <v>0</v>
      </c>
      <c r="H14" s="1">
        <v>4</v>
      </c>
      <c r="I14" s="1">
        <v>2</v>
      </c>
      <c r="J14" s="1">
        <v>1</v>
      </c>
      <c r="K14" s="1">
        <v>1</v>
      </c>
      <c r="L14" s="1">
        <v>0</v>
      </c>
      <c r="M14" s="1">
        <v>4</v>
      </c>
      <c r="N14" s="1">
        <v>1121500</v>
      </c>
      <c r="O14" s="1">
        <v>1</v>
      </c>
      <c r="P14" s="13">
        <f>H14+I14</f>
        <v>6</v>
      </c>
      <c r="Q14" s="14">
        <f>P14/(C14+D14+E14+F14+G14)</f>
        <v>2</v>
      </c>
      <c r="R14" s="14">
        <f>L14/(C14+D14+E14+F14+G14)</f>
        <v>0</v>
      </c>
      <c r="S14" s="14">
        <f>M14/(C14+D14+E14+F14+G14)</f>
        <v>1.3333333333333333</v>
      </c>
      <c r="T14" s="15">
        <f>IF(D14&gt;2,0,IF(D14=2,5,IF(D14=1,10,IF(D14&lt;1,15))))</f>
        <v>15</v>
      </c>
      <c r="U14" s="15">
        <f>IF(E14&gt;=2,0,IF(E14=1,5,IF(E14=0,10)))</f>
        <v>10</v>
      </c>
      <c r="V14" s="15">
        <f>IF(Q14&lt;0.5,0,IF(Q14&lt;0.75,5,IF(Q14&lt;1,10,IF(Q14&lt;1.2,15,IF(Q14&gt;=1.2,20)))))</f>
        <v>20</v>
      </c>
      <c r="W14" s="15">
        <f>IF(N14&lt;25000000,0,IF(N14&lt;50000000,5,IF(N14&lt;100000000,10,IF(N14&gt;=100000000,15))))</f>
        <v>0</v>
      </c>
      <c r="X14" s="15">
        <f>IF(R14&lt;0.1,0,IF(R14&lt;0.2,5,IF(R14&lt;0.4,10,IF(R14&lt;0.6,15,IF(R14&gt;=0.6,20)))))</f>
        <v>0</v>
      </c>
      <c r="Y14" s="15">
        <f>IF(S14&lt;1,0,IF(S14&lt;2,5,IF(S14&gt;=2,10)))</f>
        <v>5</v>
      </c>
      <c r="Z14" s="15">
        <f>IF(O14&lt;10,0,IF(O14&lt;20,5,IF(O14&gt;=20,10)))</f>
        <v>0</v>
      </c>
      <c r="AA14" s="16">
        <f>SUM(T14:Z14)</f>
        <v>50</v>
      </c>
      <c r="AB14" s="16" t="str">
        <f>IF(AA14&lt;30,"Grey",IF(AA14&lt;50,"Red",IF(AA14&lt;70,"Amber",IF(AA14&gt;=70,"Green"))))</f>
        <v>Amber</v>
      </c>
    </row>
    <row r="15" spans="1:28" ht="17.25" thickBot="1" x14ac:dyDescent="0.35">
      <c r="A15" s="31" t="s">
        <v>27</v>
      </c>
      <c r="B15" s="31"/>
      <c r="C15" s="2">
        <v>3</v>
      </c>
      <c r="D15" s="2">
        <v>0</v>
      </c>
      <c r="E15" s="2">
        <v>0</v>
      </c>
      <c r="F15" s="2">
        <v>0</v>
      </c>
      <c r="G15" s="2">
        <v>0</v>
      </c>
      <c r="H15" s="2">
        <v>7</v>
      </c>
      <c r="I15" s="2">
        <v>5</v>
      </c>
      <c r="J15" s="2">
        <v>1</v>
      </c>
      <c r="K15" s="2">
        <v>0</v>
      </c>
      <c r="L15" s="2">
        <v>1</v>
      </c>
      <c r="M15" s="2">
        <v>10</v>
      </c>
      <c r="N15" s="2">
        <v>2252800</v>
      </c>
      <c r="O15" s="2">
        <v>13</v>
      </c>
      <c r="P15" s="13">
        <f>H15+I15</f>
        <v>12</v>
      </c>
      <c r="Q15" s="14">
        <f>P15/(C15+D15+E15+F15+G15)</f>
        <v>4</v>
      </c>
      <c r="R15" s="14">
        <f>L15/(C15+D15+E15+F15+G15)</f>
        <v>0.33333333333333331</v>
      </c>
      <c r="S15" s="14">
        <f>M15/(C15+D15+E15+F15+G15)</f>
        <v>3.3333333333333335</v>
      </c>
      <c r="T15" s="15">
        <f>IF(D15&gt;2,0,IF(D15=2,5,IF(D15=1,10,IF(D15&lt;1,15))))</f>
        <v>15</v>
      </c>
      <c r="U15" s="15">
        <f>IF(E15&gt;=2,0,IF(E15=1,5,IF(E15=0,10)))</f>
        <v>10</v>
      </c>
      <c r="V15" s="15">
        <f>IF(Q15&lt;0.5,0,IF(Q15&lt;0.75,5,IF(Q15&lt;1,10,IF(Q15&lt;1.2,15,IF(Q15&gt;=1.2,20)))))</f>
        <v>20</v>
      </c>
      <c r="W15" s="15">
        <f>IF(N15&lt;25000000,0,IF(N15&lt;50000000,5,IF(N15&lt;100000000,10,IF(N15&gt;=100000000,15))))</f>
        <v>0</v>
      </c>
      <c r="X15" s="15">
        <f>IF(R15&lt;0.1,0,IF(R15&lt;0.2,5,IF(R15&lt;0.4,10,IF(R15&lt;0.6,15,IF(R15&gt;=0.6,20)))))</f>
        <v>10</v>
      </c>
      <c r="Y15" s="15">
        <f>IF(S15&lt;1,0,IF(S15&lt;2,5,IF(S15&gt;=2,10)))</f>
        <v>10</v>
      </c>
      <c r="Z15" s="15">
        <f>IF(O15&lt;10,0,IF(O15&lt;20,5,IF(O15&gt;=20,10)))</f>
        <v>5</v>
      </c>
      <c r="AA15" s="16">
        <f>SUM(T15:Z15)</f>
        <v>70</v>
      </c>
      <c r="AB15" s="16" t="str">
        <f>IF(AA15&lt;30,"Grey",IF(AA15&lt;50,"Red",IF(AA15&lt;70,"Amber",IF(AA15&gt;=70,"Green"))))</f>
        <v>Green</v>
      </c>
    </row>
    <row r="16" spans="1:28" ht="17.25" thickBot="1" x14ac:dyDescent="0.35">
      <c r="A16" s="31" t="s">
        <v>60</v>
      </c>
      <c r="B16" s="31"/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4</v>
      </c>
      <c r="N16" s="1">
        <v>110000</v>
      </c>
      <c r="O16" s="1">
        <v>0</v>
      </c>
      <c r="P16" s="13">
        <f>H16+I16</f>
        <v>0</v>
      </c>
      <c r="Q16" s="14">
        <f>P16/(C16+D16+E16+F16+G16)</f>
        <v>0</v>
      </c>
      <c r="R16" s="14">
        <f>L16/(C16+D16+E16+F16+G16)</f>
        <v>0</v>
      </c>
      <c r="S16" s="14">
        <f>M16/(C16+D16+E16+F16+G16)</f>
        <v>1.3333333333333333</v>
      </c>
      <c r="T16" s="15">
        <f>IF(D16&gt;2,0,IF(D16=2,5,IF(D16=1,10,IF(D16&lt;1,15))))</f>
        <v>15</v>
      </c>
      <c r="U16" s="15">
        <f>IF(E16&gt;=2,0,IF(E16=1,5,IF(E16=0,10)))</f>
        <v>10</v>
      </c>
      <c r="V16" s="15">
        <f>IF(Q16&lt;0.5,0,IF(Q16&lt;0.75,5,IF(Q16&lt;1,10,IF(Q16&lt;1.2,15,IF(Q16&gt;=1.2,20)))))</f>
        <v>0</v>
      </c>
      <c r="W16" s="15">
        <f>IF(N16&lt;25000000,0,IF(N16&lt;50000000,5,IF(N16&lt;100000000,10,IF(N16&gt;=100000000,15))))</f>
        <v>0</v>
      </c>
      <c r="X16" s="15">
        <f>IF(R16&lt;0.1,0,IF(R16&lt;0.2,5,IF(R16&lt;0.4,10,IF(R16&lt;0.6,15,IF(R16&gt;=0.6,20)))))</f>
        <v>0</v>
      </c>
      <c r="Y16" s="15">
        <f>IF(S16&lt;1,0,IF(S16&lt;2,5,IF(S16&gt;=2,10)))</f>
        <v>5</v>
      </c>
      <c r="Z16" s="15">
        <f>IF(O16&lt;10,0,IF(O16&lt;20,5,IF(O16&gt;=20,10)))</f>
        <v>0</v>
      </c>
      <c r="AA16" s="16">
        <f>SUM(T16:Z16)</f>
        <v>30</v>
      </c>
      <c r="AB16" s="16" t="str">
        <f>IF(AA16&lt;30,"Grey",IF(AA16&lt;50,"Red",IF(AA16&lt;70,"Amber",IF(AA16&gt;=70,"Green"))))</f>
        <v>Red</v>
      </c>
    </row>
    <row r="17" spans="1:28" ht="17.25" thickBot="1" x14ac:dyDescent="0.35">
      <c r="A17" s="31" t="s">
        <v>26</v>
      </c>
      <c r="B17" s="31"/>
      <c r="C17" s="2">
        <v>3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9</v>
      </c>
      <c r="J17" s="2">
        <v>0</v>
      </c>
      <c r="K17" s="2">
        <v>2</v>
      </c>
      <c r="L17" s="2">
        <v>0</v>
      </c>
      <c r="M17" s="2">
        <v>9</v>
      </c>
      <c r="N17" s="2">
        <v>500000</v>
      </c>
      <c r="O17" s="2">
        <v>10</v>
      </c>
      <c r="P17" s="13">
        <f>H17+I17</f>
        <v>10</v>
      </c>
      <c r="Q17" s="14">
        <f>P17/(C17+D17+E17+F17+G17)</f>
        <v>3.3333333333333335</v>
      </c>
      <c r="R17" s="14">
        <f>L17/(C17+D17+E17+F17+G17)</f>
        <v>0</v>
      </c>
      <c r="S17" s="14">
        <f>M17/(C17+D17+E17+F17+G17)</f>
        <v>3</v>
      </c>
      <c r="T17" s="15">
        <f>IF(D17&gt;2,0,IF(D17=2,5,IF(D17=1,10,IF(D17&lt;1,15))))</f>
        <v>15</v>
      </c>
      <c r="U17" s="15">
        <f>IF(E17&gt;=2,0,IF(E17=1,5,IF(E17=0,10)))</f>
        <v>10</v>
      </c>
      <c r="V17" s="15">
        <f>IF(Q17&lt;0.5,0,IF(Q17&lt;0.75,5,IF(Q17&lt;1,10,IF(Q17&lt;1.2,15,IF(Q17&gt;=1.2,20)))))</f>
        <v>20</v>
      </c>
      <c r="W17" s="15">
        <f>IF(N17&lt;25000000,0,IF(N17&lt;50000000,5,IF(N17&lt;100000000,10,IF(N17&gt;=100000000,15))))</f>
        <v>0</v>
      </c>
      <c r="X17" s="15">
        <f>IF(R17&lt;0.1,0,IF(R17&lt;0.2,5,IF(R17&lt;0.4,10,IF(R17&lt;0.6,15,IF(R17&gt;=0.6,20)))))</f>
        <v>0</v>
      </c>
      <c r="Y17" s="15">
        <f>IF(S17&lt;1,0,IF(S17&lt;2,5,IF(S17&gt;=2,10)))</f>
        <v>10</v>
      </c>
      <c r="Z17" s="15">
        <f>IF(O17&lt;10,0,IF(O17&lt;20,5,IF(O17&gt;=20,10)))</f>
        <v>5</v>
      </c>
      <c r="AA17" s="16">
        <f>SUM(T17:Z17)</f>
        <v>60</v>
      </c>
      <c r="AB17" s="16" t="str">
        <f>IF(AA17&lt;30,"Grey",IF(AA17&lt;50,"Red",IF(AA17&lt;70,"Amber",IF(AA17&gt;=70,"Green"))))</f>
        <v>Amber</v>
      </c>
    </row>
    <row r="18" spans="1:28" ht="33" customHeight="1" thickBot="1" x14ac:dyDescent="0.35">
      <c r="A18" s="31" t="s">
        <v>31</v>
      </c>
      <c r="B18" s="31"/>
      <c r="C18" s="2">
        <v>3</v>
      </c>
      <c r="D18" s="2">
        <v>0</v>
      </c>
      <c r="E18" s="2">
        <v>0</v>
      </c>
      <c r="F18" s="2">
        <v>0</v>
      </c>
      <c r="G18" s="2">
        <v>0</v>
      </c>
      <c r="H18" s="2">
        <v>3</v>
      </c>
      <c r="I18" s="2">
        <v>9</v>
      </c>
      <c r="J18" s="2">
        <v>1</v>
      </c>
      <c r="K18" s="2">
        <v>1</v>
      </c>
      <c r="L18" s="2">
        <v>0</v>
      </c>
      <c r="M18" s="2">
        <v>8</v>
      </c>
      <c r="N18" s="2">
        <v>70000</v>
      </c>
      <c r="O18" s="2">
        <v>10</v>
      </c>
      <c r="P18" s="13">
        <f>H18+I18</f>
        <v>12</v>
      </c>
      <c r="Q18" s="14">
        <f>P18/(C18+D18+E18+F18+G18)</f>
        <v>4</v>
      </c>
      <c r="R18" s="14">
        <f>L18/(C18+D18+E18+F18+G18)</f>
        <v>0</v>
      </c>
      <c r="S18" s="14">
        <f>M18/(C18+D18+E18+F18+G18)</f>
        <v>2.6666666666666665</v>
      </c>
      <c r="T18" s="15">
        <f>IF(D18&gt;2,0,IF(D18=2,5,IF(D18=1,10,IF(D18&lt;1,15))))</f>
        <v>15</v>
      </c>
      <c r="U18" s="15">
        <f>IF(E18&gt;=2,0,IF(E18=1,5,IF(E18=0,10)))</f>
        <v>10</v>
      </c>
      <c r="V18" s="15">
        <f>IF(Q18&lt;0.5,0,IF(Q18&lt;0.75,5,IF(Q18&lt;1,10,IF(Q18&lt;1.2,15,IF(Q18&gt;=1.2,20)))))</f>
        <v>20</v>
      </c>
      <c r="W18" s="15">
        <f>IF(N18&lt;25000000,0,IF(N18&lt;50000000,5,IF(N18&lt;100000000,10,IF(N18&gt;=100000000,15))))</f>
        <v>0</v>
      </c>
      <c r="X18" s="15">
        <f>IF(R18&lt;0.1,0,IF(R18&lt;0.2,5,IF(R18&lt;0.4,10,IF(R18&lt;0.6,15,IF(R18&gt;=0.6,20)))))</f>
        <v>0</v>
      </c>
      <c r="Y18" s="15">
        <f>IF(S18&lt;1,0,IF(S18&lt;2,5,IF(S18&gt;=2,10)))</f>
        <v>10</v>
      </c>
      <c r="Z18" s="15">
        <f>IF(O18&lt;10,0,IF(O18&lt;20,5,IF(O18&gt;=20,10)))</f>
        <v>5</v>
      </c>
      <c r="AA18" s="16">
        <f>SUM(T18:Z18)</f>
        <v>60</v>
      </c>
      <c r="AB18" s="16" t="str">
        <f>IF(AA18&lt;30,"Grey",IF(AA18&lt;50,"Red",IF(AA18&lt;70,"Amber",IF(AA18&gt;=70,"Green"))))</f>
        <v>Amber</v>
      </c>
    </row>
    <row r="19" spans="1:28" ht="17.25" thickBot="1" x14ac:dyDescent="0.35">
      <c r="A19" s="31" t="s">
        <v>29</v>
      </c>
      <c r="B19" s="31"/>
      <c r="C19" s="2">
        <v>3</v>
      </c>
      <c r="D19" s="2">
        <v>0</v>
      </c>
      <c r="E19" s="2">
        <v>0</v>
      </c>
      <c r="F19" s="2">
        <v>0</v>
      </c>
      <c r="G19" s="2">
        <v>0</v>
      </c>
      <c r="H19" s="2">
        <v>2</v>
      </c>
      <c r="I19" s="2">
        <v>0</v>
      </c>
      <c r="J19" s="2">
        <v>2</v>
      </c>
      <c r="K19" s="2">
        <v>2</v>
      </c>
      <c r="L19" s="2">
        <v>0</v>
      </c>
      <c r="M19" s="2">
        <v>1</v>
      </c>
      <c r="N19" s="2">
        <v>16437100</v>
      </c>
      <c r="O19" s="2">
        <v>0</v>
      </c>
      <c r="P19" s="13">
        <f>H19+I19</f>
        <v>2</v>
      </c>
      <c r="Q19" s="14">
        <f>P19/(C19+D19+E19+F19+G19)</f>
        <v>0.66666666666666663</v>
      </c>
      <c r="R19" s="14">
        <f>L19/(C19+D19+E19+F19+G19)</f>
        <v>0</v>
      </c>
      <c r="S19" s="14">
        <f>M19/(C19+D19+E19+F19+G19)</f>
        <v>0.33333333333333331</v>
      </c>
      <c r="T19" s="15">
        <f>IF(D19&gt;2,0,IF(D19=2,5,IF(D19=1,10,IF(D19&lt;1,15))))</f>
        <v>15</v>
      </c>
      <c r="U19" s="15">
        <f>IF(E19&gt;=2,0,IF(E19=1,5,IF(E19=0,10)))</f>
        <v>10</v>
      </c>
      <c r="V19" s="15">
        <f>IF(Q19&lt;0.5,0,IF(Q19&lt;0.75,5,IF(Q19&lt;1,10,IF(Q19&lt;1.2,15,IF(Q19&gt;=1.2,20)))))</f>
        <v>5</v>
      </c>
      <c r="W19" s="15">
        <f>IF(N19&lt;25000000,0,IF(N19&lt;50000000,5,IF(N19&lt;100000000,10,IF(N19&gt;=100000000,15))))</f>
        <v>0</v>
      </c>
      <c r="X19" s="15">
        <f>IF(R19&lt;0.1,0,IF(R19&lt;0.2,5,IF(R19&lt;0.4,10,IF(R19&lt;0.6,15,IF(R19&gt;=0.6,20)))))</f>
        <v>0</v>
      </c>
      <c r="Y19" s="15">
        <f>IF(S19&lt;1,0,IF(S19&lt;2,5,IF(S19&gt;=2,10)))</f>
        <v>0</v>
      </c>
      <c r="Z19" s="15">
        <f>IF(O19&lt;10,0,IF(O19&lt;20,5,IF(O19&gt;=20,10)))</f>
        <v>0</v>
      </c>
      <c r="AA19" s="16">
        <f>SUM(T19:Z19)</f>
        <v>30</v>
      </c>
      <c r="AB19" s="16" t="str">
        <f>IF(AA19&lt;30,"Grey",IF(AA19&lt;50,"Red",IF(AA19&lt;70,"Amber",IF(AA19&gt;=70,"Green"))))</f>
        <v>Red</v>
      </c>
    </row>
    <row r="20" spans="1:28" ht="17.25" thickBot="1" x14ac:dyDescent="0.35">
      <c r="A20" s="31" t="s">
        <v>30</v>
      </c>
      <c r="B20" s="31"/>
      <c r="C20" s="1">
        <v>3</v>
      </c>
      <c r="D20" s="1">
        <v>0</v>
      </c>
      <c r="E20" s="1">
        <v>0</v>
      </c>
      <c r="F20" s="1">
        <v>0</v>
      </c>
      <c r="G20" s="1">
        <v>0</v>
      </c>
      <c r="H20" s="1">
        <v>8</v>
      </c>
      <c r="I20" s="1">
        <v>2</v>
      </c>
      <c r="J20" s="1">
        <v>7</v>
      </c>
      <c r="K20" s="1">
        <v>22</v>
      </c>
      <c r="L20" s="1">
        <v>0</v>
      </c>
      <c r="M20" s="1">
        <v>9</v>
      </c>
      <c r="N20" s="1">
        <v>930000</v>
      </c>
      <c r="O20" s="1">
        <v>0</v>
      </c>
      <c r="P20" s="13">
        <f>H20+I20</f>
        <v>10</v>
      </c>
      <c r="Q20" s="14">
        <f>P20/(C20+D20+E20+F20+G20)</f>
        <v>3.3333333333333335</v>
      </c>
      <c r="R20" s="14">
        <f>L20/(C20+D20+E20+F20+G20)</f>
        <v>0</v>
      </c>
      <c r="S20" s="14">
        <f>M20/(C20+D20+E20+F20+G20)</f>
        <v>3</v>
      </c>
      <c r="T20" s="15">
        <f>IF(D20&gt;2,0,IF(D20=2,5,IF(D20=1,10,IF(D20&lt;1,15))))</f>
        <v>15</v>
      </c>
      <c r="U20" s="15">
        <f>IF(E20&gt;=2,0,IF(E20=1,5,IF(E20=0,10)))</f>
        <v>10</v>
      </c>
      <c r="V20" s="15">
        <f>IF(Q20&lt;0.5,0,IF(Q20&lt;0.75,5,IF(Q20&lt;1,10,IF(Q20&lt;1.2,15,IF(Q20&gt;=1.2,20)))))</f>
        <v>20</v>
      </c>
      <c r="W20" s="15">
        <f>IF(N20&lt;25000000,0,IF(N20&lt;50000000,5,IF(N20&lt;100000000,10,IF(N20&gt;=100000000,15))))</f>
        <v>0</v>
      </c>
      <c r="X20" s="15">
        <f>IF(R20&lt;0.1,0,IF(R20&lt;0.2,5,IF(R20&lt;0.4,10,IF(R20&lt;0.6,15,IF(R20&gt;=0.6,20)))))</f>
        <v>0</v>
      </c>
      <c r="Y20" s="15">
        <f>IF(S20&lt;1,0,IF(S20&lt;2,5,IF(S20&gt;=2,10)))</f>
        <v>10</v>
      </c>
      <c r="Z20" s="15">
        <f>IF(O20&lt;10,0,IF(O20&lt;20,5,IF(O20&gt;=20,10)))</f>
        <v>0</v>
      </c>
      <c r="AA20" s="16">
        <f>SUM(T20:Z20)</f>
        <v>55</v>
      </c>
      <c r="AB20" s="16" t="str">
        <f>IF(AA20&lt;30,"Grey",IF(AA20&lt;50,"Red",IF(AA20&lt;70,"Amber",IF(AA20&gt;=70,"Green"))))</f>
        <v>Amber</v>
      </c>
    </row>
    <row r="21" spans="1:28" ht="17.25" thickBot="1" x14ac:dyDescent="0.35">
      <c r="A21" s="31" t="s">
        <v>32</v>
      </c>
      <c r="B21" s="31"/>
      <c r="C21" s="3">
        <v>3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>
        <v>1</v>
      </c>
      <c r="J21" s="3">
        <v>15</v>
      </c>
      <c r="K21" s="3">
        <v>5</v>
      </c>
      <c r="L21" s="3">
        <v>0</v>
      </c>
      <c r="M21" s="3">
        <v>5</v>
      </c>
      <c r="N21" s="3">
        <v>1064400</v>
      </c>
      <c r="O21" s="3">
        <v>15</v>
      </c>
      <c r="P21" s="13">
        <f>H21+I21</f>
        <v>3</v>
      </c>
      <c r="Q21" s="14">
        <f>P21/(C21+D21+E21+F21+G21)</f>
        <v>1</v>
      </c>
      <c r="R21" s="14">
        <f>L21/(C21+D21+E21+F21+G21)</f>
        <v>0</v>
      </c>
      <c r="S21" s="14">
        <f>M21/(C21+D21+E21+F21+G21)</f>
        <v>1.6666666666666667</v>
      </c>
      <c r="T21" s="15">
        <f>IF(D21&gt;2,0,IF(D21=2,5,IF(D21=1,10,IF(D21&lt;1,15))))</f>
        <v>15</v>
      </c>
      <c r="U21" s="15">
        <f>IF(E21&gt;=2,0,IF(E21=1,5,IF(E21=0,10)))</f>
        <v>10</v>
      </c>
      <c r="V21" s="15">
        <f>IF(Q21&lt;0.5,0,IF(Q21&lt;0.75,5,IF(Q21&lt;1,10,IF(Q21&lt;1.2,15,IF(Q21&gt;=1.2,20)))))</f>
        <v>15</v>
      </c>
      <c r="W21" s="15">
        <f>IF(N21&lt;25000000,0,IF(N21&lt;50000000,5,IF(N21&lt;100000000,10,IF(N21&gt;=100000000,15))))</f>
        <v>0</v>
      </c>
      <c r="X21" s="15">
        <f>IF(R21&lt;0.1,0,IF(R21&lt;0.2,5,IF(R21&lt;0.4,10,IF(R21&lt;0.6,15,IF(R21&gt;=0.6,20)))))</f>
        <v>0</v>
      </c>
      <c r="Y21" s="15">
        <f>IF(S21&lt;1,0,IF(S21&lt;2,5,IF(S21&gt;=2,10)))</f>
        <v>5</v>
      </c>
      <c r="Z21" s="15">
        <f>IF(O21&lt;10,0,IF(O21&lt;20,5,IF(O21&gt;=20,10)))</f>
        <v>5</v>
      </c>
      <c r="AA21" s="16">
        <f>SUM(T21:Z21)</f>
        <v>50</v>
      </c>
      <c r="AB21" s="16" t="str">
        <f>IF(AA21&lt;30,"Grey",IF(AA21&lt;50,"Red",IF(AA21&lt;70,"Amber",IF(AA21&gt;=70,"Green"))))</f>
        <v>Amber</v>
      </c>
    </row>
    <row r="22" spans="1:28" ht="17.25" thickBot="1" x14ac:dyDescent="0.35">
      <c r="A22" s="31" t="s">
        <v>62</v>
      </c>
      <c r="B22" s="31"/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5</v>
      </c>
      <c r="N22" s="1">
        <v>0</v>
      </c>
      <c r="O22" s="1">
        <v>3</v>
      </c>
      <c r="P22" s="13">
        <f>H22+I22</f>
        <v>0</v>
      </c>
      <c r="Q22" s="14">
        <f>P22/(C22+D22+E22+F22+G22)</f>
        <v>0</v>
      </c>
      <c r="R22" s="14">
        <f>L22/(C22+D22+E22+F22+G22)</f>
        <v>0</v>
      </c>
      <c r="S22" s="14">
        <f>M22/(C22+D22+E22+F22+G22)</f>
        <v>1.6666666666666667</v>
      </c>
      <c r="T22" s="15">
        <f>IF(D22&gt;2,0,IF(D22=2,5,IF(D22=1,10,IF(D22&lt;1,15))))</f>
        <v>15</v>
      </c>
      <c r="U22" s="15">
        <f>IF(E22&gt;=2,0,IF(E22=1,5,IF(E22=0,10)))</f>
        <v>10</v>
      </c>
      <c r="V22" s="15">
        <f>IF(Q22&lt;0.5,0,IF(Q22&lt;0.75,5,IF(Q22&lt;1,10,IF(Q22&lt;1.2,15,IF(Q22&gt;=1.2,20)))))</f>
        <v>0</v>
      </c>
      <c r="W22" s="15">
        <f>IF(N22&lt;25000000,0,IF(N22&lt;50000000,5,IF(N22&lt;100000000,10,IF(N22&gt;=100000000,15))))</f>
        <v>0</v>
      </c>
      <c r="X22" s="15">
        <f>IF(R22&lt;0.1,0,IF(R22&lt;0.2,5,IF(R22&lt;0.4,10,IF(R22&lt;0.6,15,IF(R22&gt;=0.6,20)))))</f>
        <v>0</v>
      </c>
      <c r="Y22" s="15">
        <f>IF(S22&lt;1,0,IF(S22&lt;2,5,IF(S22&gt;=2,10)))</f>
        <v>5</v>
      </c>
      <c r="Z22" s="15">
        <f>IF(O22&lt;10,0,IF(O22&lt;20,5,IF(O22&gt;=20,10)))</f>
        <v>0</v>
      </c>
      <c r="AA22" s="16">
        <f>SUM(T22:Z22)</f>
        <v>30</v>
      </c>
      <c r="AB22" s="16" t="str">
        <f>IF(AA22&lt;30,"Grey",IF(AA22&lt;50,"Red",IF(AA22&lt;70,"Amber",IF(AA22&gt;=70,"Green"))))</f>
        <v>Red</v>
      </c>
    </row>
    <row r="23" spans="1:28" ht="17.25" thickBot="1" x14ac:dyDescent="0.35">
      <c r="A23" s="31" t="s">
        <v>18</v>
      </c>
      <c r="B23" s="31"/>
      <c r="C23" s="2">
        <v>2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3</v>
      </c>
      <c r="N23" s="2">
        <v>850000</v>
      </c>
      <c r="O23" s="2">
        <v>4</v>
      </c>
      <c r="P23" s="13">
        <f>H23+I23</f>
        <v>1</v>
      </c>
      <c r="Q23" s="14">
        <f>P23/(C23+D23+E23+F23+G23)</f>
        <v>0.33333333333333331</v>
      </c>
      <c r="R23" s="14">
        <f>L23/(C23+D23+E23+F23+G23)</f>
        <v>0</v>
      </c>
      <c r="S23" s="14">
        <f>M23/(C23+D23+E23+F23+G23)</f>
        <v>1</v>
      </c>
      <c r="T23" s="15">
        <f>IF(D23&gt;2,0,IF(D23=2,5,IF(D23=1,10,IF(D23&lt;1,15))))</f>
        <v>15</v>
      </c>
      <c r="U23" s="15">
        <f>IF(E23&gt;=2,0,IF(E23=1,5,IF(E23=0,10)))</f>
        <v>5</v>
      </c>
      <c r="V23" s="15">
        <f>IF(Q23&lt;0.5,0,IF(Q23&lt;0.75,5,IF(Q23&lt;1,10,IF(Q23&lt;1.2,15,IF(Q23&gt;=1.2,20)))))</f>
        <v>0</v>
      </c>
      <c r="W23" s="15">
        <f>IF(N23&lt;25000000,0,IF(N23&lt;50000000,5,IF(N23&lt;100000000,10,IF(N23&gt;=100000000,15))))</f>
        <v>0</v>
      </c>
      <c r="X23" s="15">
        <f>IF(R23&lt;0.1,0,IF(R23&lt;0.2,5,IF(R23&lt;0.4,10,IF(R23&lt;0.6,15,IF(R23&gt;=0.6,20)))))</f>
        <v>0</v>
      </c>
      <c r="Y23" s="15">
        <f>IF(S23&lt;1,0,IF(S23&lt;2,5,IF(S23&gt;=2,10)))</f>
        <v>5</v>
      </c>
      <c r="Z23" s="15">
        <f>IF(O23&lt;10,0,IF(O23&lt;20,5,IF(O23&gt;=20,10)))</f>
        <v>0</v>
      </c>
      <c r="AA23" s="16">
        <f>SUM(T23:Z23)</f>
        <v>25</v>
      </c>
      <c r="AB23" s="16" t="str">
        <f>IF(AA23&lt;30,"Grey",IF(AA23&lt;50,"Red",IF(AA23&lt;70,"Amber",IF(AA23&gt;=70,"Green"))))</f>
        <v>Grey</v>
      </c>
    </row>
    <row r="24" spans="1:28" ht="33" customHeight="1" thickBot="1" x14ac:dyDescent="0.35">
      <c r="A24" s="31" t="s">
        <v>22</v>
      </c>
      <c r="B24" s="31"/>
      <c r="C24" s="2">
        <v>3</v>
      </c>
      <c r="D24" s="2">
        <v>0</v>
      </c>
      <c r="E24" s="2">
        <v>0</v>
      </c>
      <c r="F24" s="2">
        <v>0</v>
      </c>
      <c r="G24" s="2">
        <v>0</v>
      </c>
      <c r="H24" s="2">
        <v>2</v>
      </c>
      <c r="I24" s="2">
        <v>0</v>
      </c>
      <c r="J24" s="2">
        <v>0</v>
      </c>
      <c r="K24" s="2">
        <v>2</v>
      </c>
      <c r="L24" s="2">
        <v>0</v>
      </c>
      <c r="M24" s="2">
        <v>3</v>
      </c>
      <c r="N24" s="2">
        <v>2450000</v>
      </c>
      <c r="O24" s="2">
        <v>1</v>
      </c>
      <c r="P24" s="13">
        <f>H24+I24</f>
        <v>2</v>
      </c>
      <c r="Q24" s="14">
        <f>P24/(C24+D24+E24+F24+G24)</f>
        <v>0.66666666666666663</v>
      </c>
      <c r="R24" s="14">
        <f>L24/(C24+D24+E24+F24+G24)</f>
        <v>0</v>
      </c>
      <c r="S24" s="14">
        <f>M24/(C24+D24+E24+F24+G24)</f>
        <v>1</v>
      </c>
      <c r="T24" s="15">
        <f>IF(D24&gt;2,0,IF(D24=2,5,IF(D24=1,10,IF(D24&lt;1,15))))</f>
        <v>15</v>
      </c>
      <c r="U24" s="15">
        <f>IF(E24&gt;=2,0,IF(E24=1,5,IF(E24=0,10)))</f>
        <v>10</v>
      </c>
      <c r="V24" s="15">
        <f>IF(Q24&lt;0.5,0,IF(Q24&lt;0.75,5,IF(Q24&lt;1,10,IF(Q24&lt;1.2,15,IF(Q24&gt;=1.2,20)))))</f>
        <v>5</v>
      </c>
      <c r="W24" s="15">
        <f>IF(N24&lt;25000000,0,IF(N24&lt;50000000,5,IF(N24&lt;100000000,10,IF(N24&gt;=100000000,15))))</f>
        <v>0</v>
      </c>
      <c r="X24" s="15">
        <f>IF(R24&lt;0.1,0,IF(R24&lt;0.2,5,IF(R24&lt;0.4,10,IF(R24&lt;0.6,15,IF(R24&gt;=0.6,20)))))</f>
        <v>0</v>
      </c>
      <c r="Y24" s="15">
        <f>IF(S24&lt;1,0,IF(S24&lt;2,5,IF(S24&gt;=2,10)))</f>
        <v>5</v>
      </c>
      <c r="Z24" s="15">
        <f>IF(O24&lt;10,0,IF(O24&lt;20,5,IF(O24&gt;=20,10)))</f>
        <v>0</v>
      </c>
      <c r="AA24" s="16">
        <f>SUM(T24:Z24)</f>
        <v>35</v>
      </c>
      <c r="AB24" s="16" t="str">
        <f>IF(AA24&lt;30,"Grey",IF(AA24&lt;50,"Red",IF(AA24&lt;70,"Amber",IF(AA24&gt;=70,"Green"))))</f>
        <v>Red</v>
      </c>
    </row>
    <row r="25" spans="1:28" ht="17.25" thickBot="1" x14ac:dyDescent="0.35">
      <c r="A25" s="31" t="s">
        <v>19</v>
      </c>
      <c r="B25" s="31"/>
      <c r="C25" s="1">
        <v>3</v>
      </c>
      <c r="D25" s="1">
        <v>0</v>
      </c>
      <c r="E25" s="1">
        <v>0</v>
      </c>
      <c r="F25" s="1">
        <v>0</v>
      </c>
      <c r="G25" s="1">
        <v>0</v>
      </c>
      <c r="H25" s="1">
        <v>5</v>
      </c>
      <c r="I25" s="1">
        <v>1</v>
      </c>
      <c r="J25" s="1">
        <v>1</v>
      </c>
      <c r="K25" s="1">
        <v>0</v>
      </c>
      <c r="L25" s="1">
        <v>0</v>
      </c>
      <c r="M25" s="1">
        <v>6</v>
      </c>
      <c r="N25" s="1">
        <v>100000</v>
      </c>
      <c r="O25" s="1">
        <v>8</v>
      </c>
      <c r="P25" s="13">
        <f>H25+I25</f>
        <v>6</v>
      </c>
      <c r="Q25" s="14">
        <f>P25/(C25+D25+E25+F25+G25)</f>
        <v>2</v>
      </c>
      <c r="R25" s="14">
        <f>L25/(C25+D25+E25+F25+G25)</f>
        <v>0</v>
      </c>
      <c r="S25" s="14">
        <f>M25/(C25+D25+E25+F25+G25)</f>
        <v>2</v>
      </c>
      <c r="T25" s="15">
        <f>IF(D25&gt;2,0,IF(D25=2,5,IF(D25=1,10,IF(D25&lt;1,15))))</f>
        <v>15</v>
      </c>
      <c r="U25" s="15">
        <f>IF(E25&gt;=2,0,IF(E25=1,5,IF(E25=0,10)))</f>
        <v>10</v>
      </c>
      <c r="V25" s="15">
        <f>IF(Q25&lt;0.5,0,IF(Q25&lt;0.75,5,IF(Q25&lt;1,10,IF(Q25&lt;1.2,15,IF(Q25&gt;=1.2,20)))))</f>
        <v>20</v>
      </c>
      <c r="W25" s="15">
        <f>IF(N25&lt;25000000,0,IF(N25&lt;50000000,5,IF(N25&lt;100000000,10,IF(N25&gt;=100000000,15))))</f>
        <v>0</v>
      </c>
      <c r="X25" s="15">
        <f>IF(R25&lt;0.1,0,IF(R25&lt;0.2,5,IF(R25&lt;0.4,10,IF(R25&lt;0.6,15,IF(R25&gt;=0.6,20)))))</f>
        <v>0</v>
      </c>
      <c r="Y25" s="15">
        <f>IF(S25&lt;1,0,IF(S25&lt;2,5,IF(S25&gt;=2,10)))</f>
        <v>10</v>
      </c>
      <c r="Z25" s="15">
        <f>IF(O25&lt;10,0,IF(O25&lt;20,5,IF(O25&gt;=20,10)))</f>
        <v>0</v>
      </c>
      <c r="AA25" s="16">
        <f>SUM(T25:Z25)</f>
        <v>55</v>
      </c>
      <c r="AB25" s="16" t="str">
        <f>IF(AA25&lt;30,"Grey",IF(AA25&lt;50,"Red",IF(AA25&lt;70,"Amber",IF(AA25&gt;=70,"Green"))))</f>
        <v>Amber</v>
      </c>
    </row>
    <row r="26" spans="1:28" ht="17.25" thickBot="1" x14ac:dyDescent="0.35">
      <c r="A26" s="31" t="s">
        <v>20</v>
      </c>
      <c r="B26" s="31"/>
      <c r="C26" s="2">
        <v>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</v>
      </c>
      <c r="J26" s="2">
        <v>1</v>
      </c>
      <c r="K26" s="2">
        <v>1</v>
      </c>
      <c r="L26" s="2">
        <v>0</v>
      </c>
      <c r="M26" s="2">
        <v>2</v>
      </c>
      <c r="N26" s="2">
        <v>15800000</v>
      </c>
      <c r="O26" s="2">
        <v>6</v>
      </c>
      <c r="P26" s="13">
        <f>H26+I26</f>
        <v>2</v>
      </c>
      <c r="Q26" s="14">
        <f>P26/(C26+D26+E26+F26+G26)</f>
        <v>0.66666666666666663</v>
      </c>
      <c r="R26" s="14">
        <f>L26/(C26+D26+E26+F26+G26)</f>
        <v>0</v>
      </c>
      <c r="S26" s="14">
        <f>M26/(C26+D26+E26+F26+G26)</f>
        <v>0.66666666666666663</v>
      </c>
      <c r="T26" s="15">
        <f>IF(D26&gt;2,0,IF(D26=2,5,IF(D26=1,10,IF(D26&lt;1,15))))</f>
        <v>15</v>
      </c>
      <c r="U26" s="15">
        <f>IF(E26&gt;=2,0,IF(E26=1,5,IF(E26=0,10)))</f>
        <v>10</v>
      </c>
      <c r="V26" s="15">
        <f>IF(Q26&lt;0.5,0,IF(Q26&lt;0.75,5,IF(Q26&lt;1,10,IF(Q26&lt;1.2,15,IF(Q26&gt;=1.2,20)))))</f>
        <v>5</v>
      </c>
      <c r="W26" s="15">
        <f>IF(N26&lt;25000000,0,IF(N26&lt;50000000,5,IF(N26&lt;100000000,10,IF(N26&gt;=100000000,15))))</f>
        <v>0</v>
      </c>
      <c r="X26" s="15">
        <f>IF(R26&lt;0.1,0,IF(R26&lt;0.2,5,IF(R26&lt;0.4,10,IF(R26&lt;0.6,15,IF(R26&gt;=0.6,20)))))</f>
        <v>0</v>
      </c>
      <c r="Y26" s="15">
        <f>IF(S26&lt;1,0,IF(S26&lt;2,5,IF(S26&gt;=2,10)))</f>
        <v>0</v>
      </c>
      <c r="Z26" s="15">
        <f>IF(O26&lt;10,0,IF(O26&lt;20,5,IF(O26&gt;=20,10)))</f>
        <v>0</v>
      </c>
      <c r="AA26" s="16">
        <f>SUM(T26:Z26)</f>
        <v>30</v>
      </c>
      <c r="AB26" s="16" t="str">
        <f>IF(AA26&lt;30,"Grey",IF(AA26&lt;50,"Red",IF(AA26&lt;70,"Amber",IF(AA26&gt;=70,"Green"))))</f>
        <v>Red</v>
      </c>
    </row>
    <row r="27" spans="1:28" ht="17.25" thickBot="1" x14ac:dyDescent="0.35">
      <c r="A27" s="31" t="s">
        <v>21</v>
      </c>
      <c r="B27" s="31"/>
      <c r="C27" s="1">
        <v>2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4</v>
      </c>
      <c r="J27" s="1">
        <v>2</v>
      </c>
      <c r="K27" s="1">
        <v>2</v>
      </c>
      <c r="L27" s="1">
        <v>0</v>
      </c>
      <c r="M27" s="1">
        <v>6</v>
      </c>
      <c r="N27" s="1">
        <v>1225000</v>
      </c>
      <c r="O27" s="1">
        <v>5</v>
      </c>
      <c r="P27" s="13">
        <f>H27+I27</f>
        <v>4</v>
      </c>
      <c r="Q27" s="14">
        <f>P27/(C27+D27+E27+F27+G27)</f>
        <v>1.3333333333333333</v>
      </c>
      <c r="R27" s="14">
        <f>L27/(C27+D27+E27+F27+G27)</f>
        <v>0</v>
      </c>
      <c r="S27" s="14">
        <f>M27/(C27+D27+E27+F27+G27)</f>
        <v>2</v>
      </c>
      <c r="T27" s="15">
        <f>IF(D27&gt;2,0,IF(D27=2,5,IF(D27=1,10,IF(D27&lt;1,15))))</f>
        <v>15</v>
      </c>
      <c r="U27" s="15">
        <f>IF(E27&gt;=2,0,IF(E27=1,5,IF(E27=0,10)))</f>
        <v>5</v>
      </c>
      <c r="V27" s="15">
        <f>IF(Q27&lt;0.5,0,IF(Q27&lt;0.75,5,IF(Q27&lt;1,10,IF(Q27&lt;1.2,15,IF(Q27&gt;=1.2,20)))))</f>
        <v>20</v>
      </c>
      <c r="W27" s="15">
        <f>IF(N27&lt;25000000,0,IF(N27&lt;50000000,5,IF(N27&lt;100000000,10,IF(N27&gt;=100000000,15))))</f>
        <v>0</v>
      </c>
      <c r="X27" s="15">
        <f>IF(R27&lt;0.1,0,IF(R27&lt;0.2,5,IF(R27&lt;0.4,10,IF(R27&lt;0.6,15,IF(R27&gt;=0.6,20)))))</f>
        <v>0</v>
      </c>
      <c r="Y27" s="15">
        <f>IF(S27&lt;1,0,IF(S27&lt;2,5,IF(S27&gt;=2,10)))</f>
        <v>10</v>
      </c>
      <c r="Z27" s="15">
        <f>IF(O27&lt;10,0,IF(O27&lt;20,5,IF(O27&gt;=20,10)))</f>
        <v>0</v>
      </c>
      <c r="AA27" s="16">
        <f>SUM(T27:Z27)</f>
        <v>50</v>
      </c>
      <c r="AB27" s="16" t="str">
        <f>IF(AA27&lt;30,"Grey",IF(AA27&lt;50,"Red",IF(AA27&lt;70,"Amber",IF(AA27&gt;=70,"Green"))))</f>
        <v>Amber</v>
      </c>
    </row>
    <row r="28" spans="1:28" ht="17.25" thickBot="1" x14ac:dyDescent="0.35">
      <c r="A28" s="31" t="s">
        <v>23</v>
      </c>
      <c r="B28" s="31"/>
      <c r="C28" s="1">
        <v>3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4</v>
      </c>
      <c r="J28" s="1">
        <v>12</v>
      </c>
      <c r="K28" s="1">
        <v>9</v>
      </c>
      <c r="L28" s="1">
        <v>0</v>
      </c>
      <c r="M28" s="1">
        <v>6</v>
      </c>
      <c r="N28" s="1">
        <v>3400000</v>
      </c>
      <c r="O28" s="1">
        <v>2</v>
      </c>
      <c r="P28" s="13">
        <f>H28+I28</f>
        <v>6</v>
      </c>
      <c r="Q28" s="14">
        <f>P28/(C28+D28+E28+F28+G28)</f>
        <v>2</v>
      </c>
      <c r="R28" s="14">
        <f>L28/(C28+D28+E28+F28+G28)</f>
        <v>0</v>
      </c>
      <c r="S28" s="14">
        <f>M28/(C28+D28+E28+F28+G28)</f>
        <v>2</v>
      </c>
      <c r="T28" s="15">
        <f>IF(D28&gt;2,0,IF(D28=2,5,IF(D28=1,10,IF(D28&lt;1,15))))</f>
        <v>15</v>
      </c>
      <c r="U28" s="15">
        <f>IF(E28&gt;=2,0,IF(E28=1,5,IF(E28=0,10)))</f>
        <v>10</v>
      </c>
      <c r="V28" s="15">
        <f>IF(Q28&lt;0.5,0,IF(Q28&lt;0.75,5,IF(Q28&lt;1,10,IF(Q28&lt;1.2,15,IF(Q28&gt;=1.2,20)))))</f>
        <v>20</v>
      </c>
      <c r="W28" s="15">
        <f>IF(N28&lt;25000000,0,IF(N28&lt;50000000,5,IF(N28&lt;100000000,10,IF(N28&gt;=100000000,15))))</f>
        <v>0</v>
      </c>
      <c r="X28" s="15">
        <f>IF(R28&lt;0.1,0,IF(R28&lt;0.2,5,IF(R28&lt;0.4,10,IF(R28&lt;0.6,15,IF(R28&gt;=0.6,20)))))</f>
        <v>0</v>
      </c>
      <c r="Y28" s="15">
        <f>IF(S28&lt;1,0,IF(S28&lt;2,5,IF(S28&gt;=2,10)))</f>
        <v>10</v>
      </c>
      <c r="Z28" s="15">
        <f>IF(O28&lt;10,0,IF(O28&lt;20,5,IF(O28&gt;=20,10)))</f>
        <v>0</v>
      </c>
      <c r="AA28" s="16">
        <f>SUM(T28:Z28)</f>
        <v>55</v>
      </c>
      <c r="AB28" s="16" t="str">
        <f>IF(AA28&lt;30,"Grey",IF(AA28&lt;50,"Red",IF(AA28&lt;70,"Amber",IF(AA28&gt;=70,"Green"))))</f>
        <v>Amber</v>
      </c>
    </row>
    <row r="29" spans="1:28" ht="33" customHeight="1" thickBot="1" x14ac:dyDescent="0.35">
      <c r="A29" s="31" t="s">
        <v>8</v>
      </c>
      <c r="B29" s="31"/>
      <c r="C29" s="1">
        <v>2</v>
      </c>
      <c r="D29" s="1">
        <v>0</v>
      </c>
      <c r="E29" s="1">
        <v>1</v>
      </c>
      <c r="F29" s="1">
        <v>0</v>
      </c>
      <c r="G29" s="1">
        <v>0</v>
      </c>
      <c r="H29" s="1">
        <v>5</v>
      </c>
      <c r="I29" s="1">
        <v>44</v>
      </c>
      <c r="J29" s="1">
        <v>2</v>
      </c>
      <c r="K29" s="1">
        <v>8</v>
      </c>
      <c r="L29" s="1">
        <v>0</v>
      </c>
      <c r="M29" s="1">
        <v>6</v>
      </c>
      <c r="N29" s="1">
        <v>82137000</v>
      </c>
      <c r="O29" s="1">
        <v>0</v>
      </c>
      <c r="P29" s="13">
        <f>H29+I29</f>
        <v>49</v>
      </c>
      <c r="Q29" s="14">
        <f>P29/(C29+D29+E29+F29+G29)</f>
        <v>16.333333333333332</v>
      </c>
      <c r="R29" s="14">
        <f>L29/(C29+D29+E29+F29+G29)</f>
        <v>0</v>
      </c>
      <c r="S29" s="14">
        <f>M29/(C29+D29+E29+F29+G29)</f>
        <v>2</v>
      </c>
      <c r="T29" s="15">
        <f>IF(D29&gt;2,0,IF(D29=2,5,IF(D29=1,10,IF(D29&lt;1,15))))</f>
        <v>15</v>
      </c>
      <c r="U29" s="15">
        <f>IF(E29&gt;=2,0,IF(E29=1,5,IF(E29=0,10)))</f>
        <v>5</v>
      </c>
      <c r="V29" s="15">
        <f>IF(Q29&lt;0.5,0,IF(Q29&lt;0.75,5,IF(Q29&lt;1,10,IF(Q29&lt;1.2,15,IF(Q29&gt;=1.2,20)))))</f>
        <v>20</v>
      </c>
      <c r="W29" s="15">
        <f>IF(N29&lt;25000000,0,IF(N29&lt;50000000,5,IF(N29&lt;100000000,10,IF(N29&gt;=100000000,15))))</f>
        <v>10</v>
      </c>
      <c r="X29" s="15">
        <f>IF(R29&lt;0.1,0,IF(R29&lt;0.2,5,IF(R29&lt;0.4,10,IF(R29&lt;0.6,15,IF(R29&gt;=0.6,20)))))</f>
        <v>0</v>
      </c>
      <c r="Y29" s="15">
        <f>IF(S29&lt;1,0,IF(S29&lt;2,5,IF(S29&gt;=2,10)))</f>
        <v>10</v>
      </c>
      <c r="Z29" s="15">
        <f>IF(O29&lt;10,0,IF(O29&lt;20,5,IF(O29&gt;=20,10)))</f>
        <v>0</v>
      </c>
      <c r="AA29" s="16">
        <f>SUM(T29:Z29)</f>
        <v>60</v>
      </c>
      <c r="AB29" s="16" t="str">
        <f>IF(AA29&lt;30,"Grey",IF(AA29&lt;50,"Red",IF(AA29&lt;70,"Amber",IF(AA29&gt;=70,"Green"))))</f>
        <v>Amber</v>
      </c>
    </row>
    <row r="30" spans="1:28" ht="17.25" thickBot="1" x14ac:dyDescent="0.35">
      <c r="A30" s="31" t="s">
        <v>73</v>
      </c>
      <c r="B30" s="31"/>
      <c r="C30" s="1">
        <v>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3">
        <f>H30+I30</f>
        <v>0</v>
      </c>
      <c r="Q30" s="14">
        <f>P30/(C30+D30+E30+F30+G30)</f>
        <v>0</v>
      </c>
      <c r="R30" s="14">
        <f>L30/(C30+D30+E30+F30+G30)</f>
        <v>0</v>
      </c>
      <c r="S30" s="14">
        <f>M30/(C30+D30+E30+F30+G30)</f>
        <v>0</v>
      </c>
      <c r="T30" s="15">
        <f>IF(D30&gt;2,0,IF(D30=2,5,IF(D30=1,10,IF(D30&lt;1,15))))</f>
        <v>15</v>
      </c>
      <c r="U30" s="15">
        <f>IF(E30&gt;=2,0,IF(E30=1,5,IF(E30=0,10)))</f>
        <v>10</v>
      </c>
      <c r="V30" s="15">
        <f>IF(Q30&lt;0.5,0,IF(Q30&lt;0.75,5,IF(Q30&lt;1,10,IF(Q30&lt;1.2,15,IF(Q30&gt;=1.2,20)))))</f>
        <v>0</v>
      </c>
      <c r="W30" s="15">
        <f>IF(N30&lt;25000000,0,IF(N30&lt;50000000,5,IF(N30&lt;100000000,10,IF(N30&gt;=100000000,15))))</f>
        <v>0</v>
      </c>
      <c r="X30" s="15">
        <f>IF(R30&lt;0.1,0,IF(R30&lt;0.2,5,IF(R30&lt;0.4,10,IF(R30&lt;0.6,15,IF(R30&gt;=0.6,20)))))</f>
        <v>0</v>
      </c>
      <c r="Y30" s="15">
        <f>IF(S30&lt;1,0,IF(S30&lt;2,5,IF(S30&gt;=2,10)))</f>
        <v>0</v>
      </c>
      <c r="Z30" s="15">
        <f>IF(O30&lt;10,0,IF(O30&lt;20,5,IF(O30&gt;=20,10)))</f>
        <v>0</v>
      </c>
      <c r="AA30" s="16">
        <f>SUM(T30:Z30)</f>
        <v>25</v>
      </c>
      <c r="AB30" s="16" t="str">
        <f>IF(AA30&lt;30,"Grey",IF(AA30&lt;50,"Red",IF(AA30&lt;70,"Amber",IF(AA30&gt;=70,"Green"))))</f>
        <v>Grey</v>
      </c>
    </row>
    <row r="31" spans="1:28" ht="17.25" thickBot="1" x14ac:dyDescent="0.35">
      <c r="A31" s="31" t="s">
        <v>0</v>
      </c>
      <c r="B31" s="31"/>
      <c r="C31" s="1">
        <v>3</v>
      </c>
      <c r="D31" s="1">
        <v>0</v>
      </c>
      <c r="E31" s="1">
        <v>0</v>
      </c>
      <c r="F31" s="1">
        <v>0</v>
      </c>
      <c r="G31" s="1">
        <v>0</v>
      </c>
      <c r="H31" s="1">
        <v>2</v>
      </c>
      <c r="I31" s="1">
        <v>4</v>
      </c>
      <c r="J31" s="1">
        <v>0</v>
      </c>
      <c r="K31" s="1">
        <v>2</v>
      </c>
      <c r="L31" s="1">
        <v>0</v>
      </c>
      <c r="M31" s="1">
        <v>9</v>
      </c>
      <c r="N31" s="1">
        <v>1900000</v>
      </c>
      <c r="O31" s="1">
        <v>5</v>
      </c>
      <c r="P31" s="13">
        <f>H31+I31</f>
        <v>6</v>
      </c>
      <c r="Q31" s="14">
        <f>P31/(C31+D31+E31+F31+G31)</f>
        <v>2</v>
      </c>
      <c r="R31" s="14">
        <f>L31/(C31+D31+E31+F31+G31)</f>
        <v>0</v>
      </c>
      <c r="S31" s="14">
        <f>M31/(C31+D31+E31+F31+G31)</f>
        <v>3</v>
      </c>
      <c r="T31" s="15">
        <f>IF(D31&gt;2,0,IF(D31=2,5,IF(D31=1,10,IF(D31&lt;1,15))))</f>
        <v>15</v>
      </c>
      <c r="U31" s="15">
        <f>IF(E31&gt;=2,0,IF(E31=1,5,IF(E31=0,10)))</f>
        <v>10</v>
      </c>
      <c r="V31" s="15">
        <f>IF(Q31&lt;0.5,0,IF(Q31&lt;0.75,5,IF(Q31&lt;1,10,IF(Q31&lt;1.2,15,IF(Q31&gt;=1.2,20)))))</f>
        <v>20</v>
      </c>
      <c r="W31" s="15">
        <f>IF(N31&lt;25000000,0,IF(N31&lt;50000000,5,IF(N31&lt;100000000,10,IF(N31&gt;=100000000,15))))</f>
        <v>0</v>
      </c>
      <c r="X31" s="15">
        <f>IF(R31&lt;0.1,0,IF(R31&lt;0.2,5,IF(R31&lt;0.4,10,IF(R31&lt;0.6,15,IF(R31&gt;=0.6,20)))))</f>
        <v>0</v>
      </c>
      <c r="Y31" s="15">
        <f>IF(S31&lt;1,0,IF(S31&lt;2,5,IF(S31&gt;=2,10)))</f>
        <v>10</v>
      </c>
      <c r="Z31" s="15">
        <f>IF(O31&lt;10,0,IF(O31&lt;20,5,IF(O31&gt;=20,10)))</f>
        <v>0</v>
      </c>
      <c r="AA31" s="16">
        <f>SUM(T31:Z31)</f>
        <v>55</v>
      </c>
      <c r="AB31" s="16" t="str">
        <f>IF(AA31&lt;30,"Grey",IF(AA31&lt;50,"Red",IF(AA31&lt;70,"Amber",IF(AA31&gt;=70,"Green"))))</f>
        <v>Amber</v>
      </c>
    </row>
    <row r="32" spans="1:28" ht="33" customHeight="1" thickBot="1" x14ac:dyDescent="0.35">
      <c r="A32" s="31" t="s">
        <v>6</v>
      </c>
      <c r="B32" s="31"/>
      <c r="C32" s="2">
        <v>3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7</v>
      </c>
      <c r="J32" s="2">
        <v>1</v>
      </c>
      <c r="K32" s="2">
        <v>0</v>
      </c>
      <c r="L32" s="2">
        <v>0</v>
      </c>
      <c r="M32" s="2">
        <v>6</v>
      </c>
      <c r="N32" s="2">
        <v>15270000</v>
      </c>
      <c r="O32" s="2">
        <v>3</v>
      </c>
      <c r="P32" s="13">
        <f>H32+I32</f>
        <v>8</v>
      </c>
      <c r="Q32" s="14">
        <f>P32/(C32+D32+E32+F32+G32)</f>
        <v>2.6666666666666665</v>
      </c>
      <c r="R32" s="14">
        <f>L32/(C32+D32+E32+F32+G32)</f>
        <v>0</v>
      </c>
      <c r="S32" s="14">
        <f>M32/(C32+D32+E32+F32+G32)</f>
        <v>2</v>
      </c>
      <c r="T32" s="15">
        <f>IF(D32&gt;2,0,IF(D32=2,5,IF(D32=1,10,IF(D32&lt;1,15))))</f>
        <v>15</v>
      </c>
      <c r="U32" s="15">
        <f>IF(E32&gt;=2,0,IF(E32=1,5,IF(E32=0,10)))</f>
        <v>10</v>
      </c>
      <c r="V32" s="15">
        <f>IF(Q32&lt;0.5,0,IF(Q32&lt;0.75,5,IF(Q32&lt;1,10,IF(Q32&lt;1.2,15,IF(Q32&gt;=1.2,20)))))</f>
        <v>20</v>
      </c>
      <c r="W32" s="15">
        <f>IF(N32&lt;25000000,0,IF(N32&lt;50000000,5,IF(N32&lt;100000000,10,IF(N32&gt;=100000000,15))))</f>
        <v>0</v>
      </c>
      <c r="X32" s="15">
        <f>IF(R32&lt;0.1,0,IF(R32&lt;0.2,5,IF(R32&lt;0.4,10,IF(R32&lt;0.6,15,IF(R32&gt;=0.6,20)))))</f>
        <v>0</v>
      </c>
      <c r="Y32" s="15">
        <f>IF(S32&lt;1,0,IF(S32&lt;2,5,IF(S32&gt;=2,10)))</f>
        <v>10</v>
      </c>
      <c r="Z32" s="15">
        <f>IF(O32&lt;10,0,IF(O32&lt;20,5,IF(O32&gt;=20,10)))</f>
        <v>0</v>
      </c>
      <c r="AA32" s="16">
        <f>SUM(T32:Z32)</f>
        <v>55</v>
      </c>
      <c r="AB32" s="16" t="str">
        <f>IF(AA32&lt;30,"Grey",IF(AA32&lt;50,"Red",IF(AA32&lt;70,"Amber",IF(AA32&gt;=70,"Green"))))</f>
        <v>Amber</v>
      </c>
    </row>
    <row r="33" spans="1:28" ht="17.25" thickBot="1" x14ac:dyDescent="0.35">
      <c r="A33" s="31" t="s">
        <v>1</v>
      </c>
      <c r="B33" s="31"/>
      <c r="C33" s="2">
        <v>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11</v>
      </c>
      <c r="J33" s="2">
        <v>1</v>
      </c>
      <c r="K33" s="2">
        <v>1</v>
      </c>
      <c r="L33" s="2">
        <v>0</v>
      </c>
      <c r="M33" s="2">
        <v>4</v>
      </c>
      <c r="N33" s="2">
        <v>3780000</v>
      </c>
      <c r="O33" s="2">
        <v>1</v>
      </c>
      <c r="P33" s="13">
        <f>H33+I33</f>
        <v>11</v>
      </c>
      <c r="Q33" s="14">
        <f>P33/(C33+D33+E33+F33+G33)</f>
        <v>3.6666666666666665</v>
      </c>
      <c r="R33" s="14">
        <f>L33/(C33+D33+E33+F33+G33)</f>
        <v>0</v>
      </c>
      <c r="S33" s="14">
        <f>M33/(C33+D33+E33+F33+G33)</f>
        <v>1.3333333333333333</v>
      </c>
      <c r="T33" s="15">
        <f>IF(D33&gt;2,0,IF(D33=2,5,IF(D33=1,10,IF(D33&lt;1,15))))</f>
        <v>15</v>
      </c>
      <c r="U33" s="15">
        <f>IF(E33&gt;=2,0,IF(E33=1,5,IF(E33=0,10)))</f>
        <v>10</v>
      </c>
      <c r="V33" s="15">
        <f>IF(Q33&lt;0.5,0,IF(Q33&lt;0.75,5,IF(Q33&lt;1,10,IF(Q33&lt;1.2,15,IF(Q33&gt;=1.2,20)))))</f>
        <v>20</v>
      </c>
      <c r="W33" s="15">
        <f>IF(N33&lt;25000000,0,IF(N33&lt;50000000,5,IF(N33&lt;100000000,10,IF(N33&gt;=100000000,15))))</f>
        <v>0</v>
      </c>
      <c r="X33" s="15">
        <f>IF(R33&lt;0.1,0,IF(R33&lt;0.2,5,IF(R33&lt;0.4,10,IF(R33&lt;0.6,15,IF(R33&gt;=0.6,20)))))</f>
        <v>0</v>
      </c>
      <c r="Y33" s="15">
        <f>IF(S33&lt;1,0,IF(S33&lt;2,5,IF(S33&gt;=2,10)))</f>
        <v>5</v>
      </c>
      <c r="Z33" s="15">
        <f>IF(O33&lt;10,0,IF(O33&lt;20,5,IF(O33&gt;=20,10)))</f>
        <v>0</v>
      </c>
      <c r="AA33" s="16">
        <f>SUM(T33:Z33)</f>
        <v>50</v>
      </c>
      <c r="AB33" s="16" t="str">
        <f>IF(AA33&lt;30,"Grey",IF(AA33&lt;50,"Red",IF(AA33&lt;70,"Amber",IF(AA33&gt;=70,"Green"))))</f>
        <v>Amber</v>
      </c>
    </row>
    <row r="34" spans="1:28" ht="33" customHeight="1" thickBot="1" x14ac:dyDescent="0.35">
      <c r="A34" s="31" t="s">
        <v>2</v>
      </c>
      <c r="B34" s="31"/>
      <c r="C34" s="1">
        <v>2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5</v>
      </c>
      <c r="J34" s="1">
        <v>0</v>
      </c>
      <c r="K34" s="1">
        <v>4</v>
      </c>
      <c r="L34" s="1">
        <v>0</v>
      </c>
      <c r="M34" s="1">
        <v>2</v>
      </c>
      <c r="N34" s="1">
        <v>11886000</v>
      </c>
      <c r="O34" s="1">
        <v>0</v>
      </c>
      <c r="P34" s="13">
        <f>H34+I34</f>
        <v>5</v>
      </c>
      <c r="Q34" s="14">
        <f>P34/(C34+D34+E34+F34+G34)</f>
        <v>1.6666666666666667</v>
      </c>
      <c r="R34" s="14">
        <f>L34/(C34+D34+E34+F34+G34)</f>
        <v>0</v>
      </c>
      <c r="S34" s="14">
        <f>M34/(C34+D34+E34+F34+G34)</f>
        <v>0.66666666666666663</v>
      </c>
      <c r="T34" s="15">
        <f>IF(D34&gt;2,0,IF(D34=2,5,IF(D34=1,10,IF(D34&lt;1,15))))</f>
        <v>10</v>
      </c>
      <c r="U34" s="15">
        <f>IF(E34&gt;=2,0,IF(E34=1,5,IF(E34=0,10)))</f>
        <v>10</v>
      </c>
      <c r="V34" s="15">
        <f>IF(Q34&lt;0.5,0,IF(Q34&lt;0.75,5,IF(Q34&lt;1,10,IF(Q34&lt;1.2,15,IF(Q34&gt;=1.2,20)))))</f>
        <v>20</v>
      </c>
      <c r="W34" s="15">
        <f>IF(N34&lt;25000000,0,IF(N34&lt;50000000,5,IF(N34&lt;100000000,10,IF(N34&gt;=100000000,15))))</f>
        <v>0</v>
      </c>
      <c r="X34" s="15">
        <f>IF(R34&lt;0.1,0,IF(R34&lt;0.2,5,IF(R34&lt;0.4,10,IF(R34&lt;0.6,15,IF(R34&gt;=0.6,20)))))</f>
        <v>0</v>
      </c>
      <c r="Y34" s="15">
        <f>IF(S34&lt;1,0,IF(S34&lt;2,5,IF(S34&gt;=2,10)))</f>
        <v>0</v>
      </c>
      <c r="Z34" s="15">
        <f>IF(O34&lt;10,0,IF(O34&lt;20,5,IF(O34&gt;=20,10)))</f>
        <v>0</v>
      </c>
      <c r="AA34" s="16">
        <f>SUM(T34:Z34)</f>
        <v>40</v>
      </c>
      <c r="AB34" s="16" t="str">
        <f>IF(AA34&lt;30,"Grey",IF(AA34&lt;50,"Red",IF(AA34&lt;70,"Amber",IF(AA34&gt;=70,"Green"))))</f>
        <v>Red</v>
      </c>
    </row>
    <row r="35" spans="1:28" ht="17.25" thickBot="1" x14ac:dyDescent="0.35">
      <c r="A35" s="31" t="s">
        <v>3</v>
      </c>
      <c r="B35" s="31"/>
      <c r="C35" s="2">
        <v>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13">
        <f>H35+I35</f>
        <v>0</v>
      </c>
      <c r="Q35" s="14">
        <f>P35/(C35+D35+E35+F35+G35)</f>
        <v>0</v>
      </c>
      <c r="R35" s="14">
        <f>L35/(C35+D35+E35+F35+G35)</f>
        <v>0</v>
      </c>
      <c r="S35" s="14">
        <f>M35/(C35+D35+E35+F35+G35)</f>
        <v>0</v>
      </c>
      <c r="T35" s="15">
        <f>IF(D35&gt;2,0,IF(D35=2,5,IF(D35=1,10,IF(D35&lt;1,15))))</f>
        <v>15</v>
      </c>
      <c r="U35" s="15">
        <f>IF(E35&gt;=2,0,IF(E35=1,5,IF(E35=0,10)))</f>
        <v>10</v>
      </c>
      <c r="V35" s="15">
        <f>IF(Q35&lt;0.5,0,IF(Q35&lt;0.75,5,IF(Q35&lt;1,10,IF(Q35&lt;1.2,15,IF(Q35&gt;=1.2,20)))))</f>
        <v>0</v>
      </c>
      <c r="W35" s="15">
        <f>IF(N35&lt;25000000,0,IF(N35&lt;50000000,5,IF(N35&lt;100000000,10,IF(N35&gt;=100000000,15))))</f>
        <v>0</v>
      </c>
      <c r="X35" s="15">
        <f>IF(R35&lt;0.1,0,IF(R35&lt;0.2,5,IF(R35&lt;0.4,10,IF(R35&lt;0.6,15,IF(R35&gt;=0.6,20)))))</f>
        <v>0</v>
      </c>
      <c r="Y35" s="15">
        <f>IF(S35&lt;1,0,IF(S35&lt;2,5,IF(S35&gt;=2,10)))</f>
        <v>0</v>
      </c>
      <c r="Z35" s="15">
        <f>IF(O35&lt;10,0,IF(O35&lt;20,5,IF(O35&gt;=20,10)))</f>
        <v>0</v>
      </c>
      <c r="AA35" s="16">
        <f>SUM(T35:Z35)</f>
        <v>25</v>
      </c>
      <c r="AB35" s="16" t="str">
        <f>IF(AA35&lt;30,"Grey",IF(AA35&lt;50,"Red",IF(AA35&lt;70,"Amber",IF(AA35&gt;=70,"Green"))))</f>
        <v>Grey</v>
      </c>
    </row>
    <row r="36" spans="1:28" ht="33" customHeight="1" thickBot="1" x14ac:dyDescent="0.35">
      <c r="A36" s="31" t="s">
        <v>4</v>
      </c>
      <c r="B36" s="31"/>
      <c r="C36" s="1">
        <v>3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1</v>
      </c>
      <c r="L36" s="1">
        <v>0</v>
      </c>
      <c r="M36" s="1">
        <v>3</v>
      </c>
      <c r="N36" s="1">
        <v>90000</v>
      </c>
      <c r="O36" s="1">
        <v>0</v>
      </c>
      <c r="P36" s="13">
        <f>H36+I36</f>
        <v>1</v>
      </c>
      <c r="Q36" s="14">
        <f>P36/(C36+D36+E36+F36+G36)</f>
        <v>0.33333333333333331</v>
      </c>
      <c r="R36" s="14">
        <f>L36/(C36+D36+E36+F36+G36)</f>
        <v>0</v>
      </c>
      <c r="S36" s="14">
        <f>M36/(C36+D36+E36+F36+G36)</f>
        <v>1</v>
      </c>
      <c r="T36" s="15">
        <f>IF(D36&gt;2,0,IF(D36=2,5,IF(D36=1,10,IF(D36&lt;1,15))))</f>
        <v>15</v>
      </c>
      <c r="U36" s="15">
        <f>IF(E36&gt;=2,0,IF(E36=1,5,IF(E36=0,10)))</f>
        <v>10</v>
      </c>
      <c r="V36" s="15">
        <f>IF(Q36&lt;0.5,0,IF(Q36&lt;0.75,5,IF(Q36&lt;1,10,IF(Q36&lt;1.2,15,IF(Q36&gt;=1.2,20)))))</f>
        <v>0</v>
      </c>
      <c r="W36" s="15">
        <f>IF(N36&lt;25000000,0,IF(N36&lt;50000000,5,IF(N36&lt;100000000,10,IF(N36&gt;=100000000,15))))</f>
        <v>0</v>
      </c>
      <c r="X36" s="15">
        <f>IF(R36&lt;0.1,0,IF(R36&lt;0.2,5,IF(R36&lt;0.4,10,IF(R36&lt;0.6,15,IF(R36&gt;=0.6,20)))))</f>
        <v>0</v>
      </c>
      <c r="Y36" s="15">
        <f>IF(S36&lt;1,0,IF(S36&lt;2,5,IF(S36&gt;=2,10)))</f>
        <v>5</v>
      </c>
      <c r="Z36" s="15">
        <f>IF(O36&lt;10,0,IF(O36&lt;20,5,IF(O36&gt;=20,10)))</f>
        <v>0</v>
      </c>
      <c r="AA36" s="16">
        <f>SUM(T36:Z36)</f>
        <v>30</v>
      </c>
      <c r="AB36" s="16" t="str">
        <f>IF(AA36&lt;30,"Grey",IF(AA36&lt;50,"Red",IF(AA36&lt;70,"Amber",IF(AA36&gt;=70,"Green"))))</f>
        <v>Red</v>
      </c>
    </row>
    <row r="37" spans="1:28" ht="17.25" thickBot="1" x14ac:dyDescent="0.35">
      <c r="A37" s="31" t="s">
        <v>5</v>
      </c>
      <c r="B37" s="31"/>
      <c r="C37" s="2">
        <v>1</v>
      </c>
      <c r="D37" s="2">
        <v>0</v>
      </c>
      <c r="E37" s="2">
        <v>0</v>
      </c>
      <c r="F37" s="2">
        <v>2</v>
      </c>
      <c r="G37" s="2">
        <v>0</v>
      </c>
      <c r="H37" s="2">
        <v>3</v>
      </c>
      <c r="I37" s="2">
        <v>3</v>
      </c>
      <c r="J37" s="2">
        <v>1</v>
      </c>
      <c r="K37" s="2">
        <v>0</v>
      </c>
      <c r="L37" s="2">
        <v>0</v>
      </c>
      <c r="M37" s="2">
        <v>6</v>
      </c>
      <c r="N37" s="2">
        <v>913000</v>
      </c>
      <c r="O37" s="2">
        <v>9</v>
      </c>
      <c r="P37" s="13">
        <f>H37+I37</f>
        <v>6</v>
      </c>
      <c r="Q37" s="14">
        <f>P37/(C37+D37+E37+F37+G37)</f>
        <v>2</v>
      </c>
      <c r="R37" s="14">
        <f>L37/(C37+D37+E37+F37+G37)</f>
        <v>0</v>
      </c>
      <c r="S37" s="14">
        <f>M37/(C37+D37+E37+F37+G37)</f>
        <v>2</v>
      </c>
      <c r="T37" s="15">
        <f>IF(D37&gt;2,0,IF(D37=2,5,IF(D37=1,10,IF(D37&lt;1,15))))</f>
        <v>15</v>
      </c>
      <c r="U37" s="15">
        <f>IF(E37&gt;=2,0,IF(E37=1,5,IF(E37=0,10)))</f>
        <v>10</v>
      </c>
      <c r="V37" s="15">
        <f>IF(Q37&lt;0.5,0,IF(Q37&lt;0.75,5,IF(Q37&lt;1,10,IF(Q37&lt;1.2,15,IF(Q37&gt;=1.2,20)))))</f>
        <v>20</v>
      </c>
      <c r="W37" s="15">
        <f>IF(N37&lt;25000000,0,IF(N37&lt;50000000,5,IF(N37&lt;100000000,10,IF(N37&gt;=100000000,15))))</f>
        <v>0</v>
      </c>
      <c r="X37" s="15">
        <f>IF(R37&lt;0.1,0,IF(R37&lt;0.2,5,IF(R37&lt;0.4,10,IF(R37&lt;0.6,15,IF(R37&gt;=0.6,20)))))</f>
        <v>0</v>
      </c>
      <c r="Y37" s="15">
        <f>IF(S37&lt;1,0,IF(S37&lt;2,5,IF(S37&gt;=2,10)))</f>
        <v>10</v>
      </c>
      <c r="Z37" s="15">
        <f>IF(O37&lt;10,0,IF(O37&lt;20,5,IF(O37&gt;=20,10)))</f>
        <v>0</v>
      </c>
      <c r="AA37" s="16">
        <f>SUM(T37:Z37)</f>
        <v>55</v>
      </c>
      <c r="AB37" s="16" t="str">
        <f>IF(AA37&lt;30,"Grey",IF(AA37&lt;50,"Red",IF(AA37&lt;70,"Amber",IF(AA37&gt;=70,"Green"))))</f>
        <v>Amber</v>
      </c>
    </row>
  </sheetData>
  <autoFilter ref="A2:AB2" xr:uid="{DB16F806-5994-4673-97F2-BD598C1DB9AB}">
    <sortState xmlns:xlrd2="http://schemas.microsoft.com/office/spreadsheetml/2017/richdata2" ref="A3:AB37">
      <sortCondition ref="A2"/>
    </sortState>
  </autoFilter>
  <phoneticPr fontId="5" type="noConversion"/>
  <conditionalFormatting sqref="AA3:AA37">
    <cfRule type="iconSet" priority="6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A083-2EB7-4618-89AF-34CC37CFB143}">
  <dimension ref="A1:AC47"/>
  <sheetViews>
    <sheetView zoomScale="98" zoomScaleNormal="98" workbookViewId="0">
      <selection sqref="A1:XFD1048576"/>
    </sheetView>
  </sheetViews>
  <sheetFormatPr defaultRowHeight="16.5" x14ac:dyDescent="0.3"/>
  <cols>
    <col min="1" max="1" width="11.125" bestFit="1" customWidth="1"/>
    <col min="3" max="13" width="3.875" customWidth="1"/>
    <col min="14" max="14" width="11" style="20" bestFit="1" customWidth="1"/>
    <col min="15" max="15" width="5.125" customWidth="1"/>
    <col min="16" max="26" width="4.5" customWidth="1"/>
  </cols>
  <sheetData>
    <row r="1" spans="1:29" x14ac:dyDescent="0.3">
      <c r="A1" s="17" t="s">
        <v>61</v>
      </c>
    </row>
    <row r="2" spans="1:29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9" ht="19.5" customHeight="1" thickBot="1" x14ac:dyDescent="0.35">
      <c r="A3" s="21" t="s">
        <v>17</v>
      </c>
      <c r="B3" s="21"/>
      <c r="C3" s="22">
        <v>5</v>
      </c>
      <c r="D3" s="22">
        <v>0</v>
      </c>
      <c r="E3" s="22">
        <v>0</v>
      </c>
      <c r="F3" s="22">
        <v>0</v>
      </c>
      <c r="G3" s="22">
        <v>0</v>
      </c>
      <c r="H3" s="22">
        <v>1</v>
      </c>
      <c r="I3" s="22">
        <v>6</v>
      </c>
      <c r="J3" s="22">
        <v>0</v>
      </c>
      <c r="K3" s="22">
        <v>9</v>
      </c>
      <c r="L3" s="22">
        <v>1</v>
      </c>
      <c r="M3" s="22">
        <v>8</v>
      </c>
      <c r="N3" s="23">
        <v>14600000</v>
      </c>
      <c r="O3" s="22">
        <v>15</v>
      </c>
      <c r="P3" s="13">
        <f t="shared" ref="P3:P35" si="0">H3+I3</f>
        <v>7</v>
      </c>
      <c r="Q3" s="14">
        <f t="shared" ref="Q3:Q35" si="1">P3/(C3+D3+E3+F3+G3)</f>
        <v>1.4</v>
      </c>
      <c r="R3" s="14">
        <f t="shared" ref="R3:R35" si="2">L3/(C3+D3+E3+F3+G3)</f>
        <v>0.2</v>
      </c>
      <c r="S3" s="14">
        <f t="shared" ref="S3:S35" si="3">M3/(C3+D3+E3+F3+G3)</f>
        <v>1.6</v>
      </c>
      <c r="T3" s="15">
        <f t="shared" ref="T3:T35" si="4">IF(D3&gt;2,0,IF(D3=2,5,IF(D3=1,10,IF(D3&lt;1,15))))</f>
        <v>15</v>
      </c>
      <c r="U3" s="15">
        <f t="shared" ref="U3:U35" si="5">IF(E3&gt;=2,0,IF(E3=1,5,IF(E3=0,10)))</f>
        <v>10</v>
      </c>
      <c r="V3" s="15">
        <f t="shared" ref="V3:V35" si="6">IF(Q3&lt;0.5,0,IF(Q3&lt;0.75,5,IF(Q3&lt;1,10,IF(Q3&lt;1.2,15,IF(Q3&gt;=1.2,20)))))</f>
        <v>20</v>
      </c>
      <c r="W3" s="15">
        <f t="shared" ref="W3:W35" si="7">IF(N3&lt;25000000,0,IF(N3&lt;50000000,5,IF(N3&lt;100000000,10,IF(N3&gt;=100000000,15))))</f>
        <v>0</v>
      </c>
      <c r="X3" s="15">
        <f t="shared" ref="X3:X35" si="8">IF(R3&lt;0.1,0,IF(R3&lt;0.2,5,IF(R3&lt;0.4,10,IF(R3&lt;0.6,15,IF(R3&gt;=0.6,20)))))</f>
        <v>10</v>
      </c>
      <c r="Y3" s="15">
        <f t="shared" ref="Y3:Y35" si="9">IF(S3&lt;1,0,IF(S3&lt;2,5,IF(S3&gt;=2,10)))</f>
        <v>5</v>
      </c>
      <c r="Z3" s="15">
        <f t="shared" ref="Z3:Z35" si="10">IF(O3&lt;10,0,IF(O3&lt;20,5,IF(O3&gt;=20,10)))</f>
        <v>5</v>
      </c>
      <c r="AA3" s="16">
        <f t="shared" ref="AA3:AA35" si="11">SUM(T3:Z3)</f>
        <v>65</v>
      </c>
      <c r="AB3" s="16" t="str">
        <f t="shared" ref="AB3:AB35" si="12">IF(AA3&lt;30,"Grey",IF(AA3&lt;50,"Red",IF(AA3&lt;70,"Amber",IF(AA3&gt;=70,"Green"))))</f>
        <v>Amber</v>
      </c>
      <c r="AC3" s="1"/>
    </row>
    <row r="4" spans="1:29" ht="19.5" customHeight="1" thickBot="1" x14ac:dyDescent="0.35">
      <c r="A4" s="21" t="s">
        <v>15</v>
      </c>
      <c r="B4" s="21"/>
      <c r="C4" s="22">
        <v>5</v>
      </c>
      <c r="D4" s="22">
        <v>0</v>
      </c>
      <c r="E4" s="22">
        <v>0</v>
      </c>
      <c r="F4" s="22">
        <v>0</v>
      </c>
      <c r="G4" s="22">
        <v>0</v>
      </c>
      <c r="H4" s="24">
        <v>2</v>
      </c>
      <c r="I4" s="24">
        <v>28</v>
      </c>
      <c r="J4" s="22">
        <v>2</v>
      </c>
      <c r="K4" s="22">
        <v>6</v>
      </c>
      <c r="L4" s="22">
        <v>0</v>
      </c>
      <c r="M4" s="24">
        <v>28</v>
      </c>
      <c r="N4" s="23">
        <v>934400</v>
      </c>
      <c r="O4" s="22">
        <v>16</v>
      </c>
      <c r="P4" s="13">
        <f t="shared" si="0"/>
        <v>30</v>
      </c>
      <c r="Q4" s="14">
        <f t="shared" si="1"/>
        <v>6</v>
      </c>
      <c r="R4" s="14">
        <f t="shared" si="2"/>
        <v>0</v>
      </c>
      <c r="S4" s="14">
        <f t="shared" si="3"/>
        <v>5.6</v>
      </c>
      <c r="T4" s="15">
        <f t="shared" si="4"/>
        <v>15</v>
      </c>
      <c r="U4" s="15">
        <f t="shared" si="5"/>
        <v>10</v>
      </c>
      <c r="V4" s="15">
        <f t="shared" si="6"/>
        <v>20</v>
      </c>
      <c r="W4" s="15">
        <f t="shared" si="7"/>
        <v>0</v>
      </c>
      <c r="X4" s="15">
        <f t="shared" si="8"/>
        <v>0</v>
      </c>
      <c r="Y4" s="15">
        <f t="shared" si="9"/>
        <v>10</v>
      </c>
      <c r="Z4" s="15">
        <f t="shared" si="10"/>
        <v>5</v>
      </c>
      <c r="AA4" s="16">
        <f t="shared" si="11"/>
        <v>60</v>
      </c>
      <c r="AB4" s="16" t="str">
        <f t="shared" si="12"/>
        <v>Amber</v>
      </c>
      <c r="AC4" s="3"/>
    </row>
    <row r="5" spans="1:29" ht="19.5" customHeight="1" thickBot="1" x14ac:dyDescent="0.35">
      <c r="A5" s="21" t="s">
        <v>9</v>
      </c>
      <c r="B5" s="21"/>
      <c r="C5" s="22">
        <v>5</v>
      </c>
      <c r="D5" s="22">
        <v>0</v>
      </c>
      <c r="E5" s="22">
        <v>0</v>
      </c>
      <c r="F5" s="22">
        <v>0</v>
      </c>
      <c r="G5" s="22">
        <v>0</v>
      </c>
      <c r="H5" s="22">
        <v>2</v>
      </c>
      <c r="I5" s="22">
        <v>8</v>
      </c>
      <c r="J5" s="22">
        <v>16</v>
      </c>
      <c r="K5" s="22">
        <v>17</v>
      </c>
      <c r="L5" s="22">
        <v>3</v>
      </c>
      <c r="M5" s="22">
        <v>6</v>
      </c>
      <c r="N5" s="23">
        <v>1210000</v>
      </c>
      <c r="O5" s="22">
        <v>13</v>
      </c>
      <c r="P5" s="13">
        <f t="shared" si="0"/>
        <v>10</v>
      </c>
      <c r="Q5" s="14">
        <f t="shared" si="1"/>
        <v>2</v>
      </c>
      <c r="R5" s="14">
        <f t="shared" si="2"/>
        <v>0.6</v>
      </c>
      <c r="S5" s="14">
        <f t="shared" si="3"/>
        <v>1.2</v>
      </c>
      <c r="T5" s="15">
        <f t="shared" si="4"/>
        <v>15</v>
      </c>
      <c r="U5" s="15">
        <f t="shared" si="5"/>
        <v>10</v>
      </c>
      <c r="V5" s="15">
        <f t="shared" si="6"/>
        <v>20</v>
      </c>
      <c r="W5" s="15">
        <f t="shared" si="7"/>
        <v>0</v>
      </c>
      <c r="X5" s="15">
        <f t="shared" si="8"/>
        <v>20</v>
      </c>
      <c r="Y5" s="15">
        <f t="shared" si="9"/>
        <v>5</v>
      </c>
      <c r="Z5" s="15">
        <f t="shared" si="10"/>
        <v>5</v>
      </c>
      <c r="AA5" s="16">
        <f t="shared" si="11"/>
        <v>75</v>
      </c>
      <c r="AB5" s="16" t="str">
        <f t="shared" si="12"/>
        <v>Green</v>
      </c>
      <c r="AC5" s="2"/>
    </row>
    <row r="6" spans="1:29" ht="19.5" customHeight="1" thickBot="1" x14ac:dyDescent="0.35">
      <c r="A6" s="21" t="s">
        <v>16</v>
      </c>
      <c r="B6" s="21"/>
      <c r="C6" s="22">
        <v>3</v>
      </c>
      <c r="D6" s="22">
        <v>2</v>
      </c>
      <c r="E6" s="22">
        <v>0</v>
      </c>
      <c r="F6" s="22">
        <v>0</v>
      </c>
      <c r="G6" s="22">
        <v>0</v>
      </c>
      <c r="H6" s="22">
        <v>2</v>
      </c>
      <c r="I6" s="22">
        <v>0</v>
      </c>
      <c r="J6" s="22">
        <v>0</v>
      </c>
      <c r="K6" s="22">
        <v>3</v>
      </c>
      <c r="L6" s="22">
        <v>0</v>
      </c>
      <c r="M6" s="22">
        <v>6</v>
      </c>
      <c r="N6" s="23">
        <v>120000</v>
      </c>
      <c r="O6" s="22">
        <v>0</v>
      </c>
      <c r="P6" s="13">
        <f t="shared" si="0"/>
        <v>2</v>
      </c>
      <c r="Q6" s="14">
        <f t="shared" si="1"/>
        <v>0.4</v>
      </c>
      <c r="R6" s="14">
        <f t="shared" si="2"/>
        <v>0</v>
      </c>
      <c r="S6" s="14">
        <f t="shared" si="3"/>
        <v>1.2</v>
      </c>
      <c r="T6" s="15">
        <f t="shared" si="4"/>
        <v>5</v>
      </c>
      <c r="U6" s="15">
        <f t="shared" si="5"/>
        <v>10</v>
      </c>
      <c r="V6" s="15">
        <f t="shared" si="6"/>
        <v>0</v>
      </c>
      <c r="W6" s="15">
        <f t="shared" si="7"/>
        <v>0</v>
      </c>
      <c r="X6" s="15">
        <f t="shared" si="8"/>
        <v>0</v>
      </c>
      <c r="Y6" s="15">
        <f t="shared" si="9"/>
        <v>5</v>
      </c>
      <c r="Z6" s="15">
        <f t="shared" si="10"/>
        <v>0</v>
      </c>
      <c r="AA6" s="16">
        <f t="shared" si="11"/>
        <v>20</v>
      </c>
      <c r="AB6" s="16" t="str">
        <f t="shared" si="12"/>
        <v>Grey</v>
      </c>
      <c r="AC6" s="1"/>
    </row>
    <row r="7" spans="1:29" ht="19.5" customHeight="1" thickBot="1" x14ac:dyDescent="0.35">
      <c r="A7" s="21" t="s">
        <v>13</v>
      </c>
      <c r="B7" s="21"/>
      <c r="C7" s="22">
        <v>4</v>
      </c>
      <c r="D7" s="22">
        <v>0</v>
      </c>
      <c r="E7" s="22">
        <v>1</v>
      </c>
      <c r="F7" s="22">
        <v>0</v>
      </c>
      <c r="G7" s="22">
        <v>0</v>
      </c>
      <c r="H7" s="22">
        <v>9</v>
      </c>
      <c r="I7" s="22">
        <v>3</v>
      </c>
      <c r="J7" s="22">
        <v>17</v>
      </c>
      <c r="K7" s="22">
        <v>18</v>
      </c>
      <c r="L7" s="22">
        <v>0</v>
      </c>
      <c r="M7" s="22">
        <v>8</v>
      </c>
      <c r="N7" s="25">
        <v>320260000</v>
      </c>
      <c r="O7" s="22">
        <v>6</v>
      </c>
      <c r="P7" s="13">
        <f t="shared" si="0"/>
        <v>12</v>
      </c>
      <c r="Q7" s="14">
        <f t="shared" si="1"/>
        <v>2.4</v>
      </c>
      <c r="R7" s="14">
        <f t="shared" si="2"/>
        <v>0</v>
      </c>
      <c r="S7" s="14">
        <f t="shared" si="3"/>
        <v>1.6</v>
      </c>
      <c r="T7" s="15">
        <f t="shared" si="4"/>
        <v>15</v>
      </c>
      <c r="U7" s="15">
        <f t="shared" si="5"/>
        <v>5</v>
      </c>
      <c r="V7" s="15">
        <f t="shared" si="6"/>
        <v>20</v>
      </c>
      <c r="W7" s="15">
        <f t="shared" si="7"/>
        <v>15</v>
      </c>
      <c r="X7" s="15">
        <f t="shared" si="8"/>
        <v>0</v>
      </c>
      <c r="Y7" s="15">
        <f t="shared" si="9"/>
        <v>5</v>
      </c>
      <c r="Z7" s="15">
        <f t="shared" si="10"/>
        <v>0</v>
      </c>
      <c r="AA7" s="16">
        <f t="shared" si="11"/>
        <v>60</v>
      </c>
      <c r="AB7" s="16" t="str">
        <f t="shared" si="12"/>
        <v>Amber</v>
      </c>
      <c r="AC7" s="2"/>
    </row>
    <row r="8" spans="1:29" ht="19.5" customHeight="1" thickBot="1" x14ac:dyDescent="0.35">
      <c r="A8" s="21" t="s">
        <v>12</v>
      </c>
      <c r="B8" s="21"/>
      <c r="C8" s="22">
        <v>5</v>
      </c>
      <c r="D8" s="22">
        <v>0</v>
      </c>
      <c r="E8" s="22">
        <v>0</v>
      </c>
      <c r="F8" s="22">
        <v>0</v>
      </c>
      <c r="G8" s="22">
        <v>0</v>
      </c>
      <c r="H8" s="22">
        <v>2</v>
      </c>
      <c r="I8" s="22">
        <v>3</v>
      </c>
      <c r="J8" s="22">
        <v>1</v>
      </c>
      <c r="K8" s="22">
        <v>2</v>
      </c>
      <c r="L8" s="22">
        <v>0</v>
      </c>
      <c r="M8" s="22">
        <v>4</v>
      </c>
      <c r="N8" s="23">
        <v>200000</v>
      </c>
      <c r="O8" s="22">
        <v>5</v>
      </c>
      <c r="P8" s="13">
        <f t="shared" si="0"/>
        <v>5</v>
      </c>
      <c r="Q8" s="14">
        <f t="shared" si="1"/>
        <v>1</v>
      </c>
      <c r="R8" s="14">
        <f t="shared" si="2"/>
        <v>0</v>
      </c>
      <c r="S8" s="14">
        <f t="shared" si="3"/>
        <v>0.8</v>
      </c>
      <c r="T8" s="15">
        <f t="shared" si="4"/>
        <v>15</v>
      </c>
      <c r="U8" s="15">
        <f t="shared" si="5"/>
        <v>10</v>
      </c>
      <c r="V8" s="15">
        <f t="shared" si="6"/>
        <v>15</v>
      </c>
      <c r="W8" s="15">
        <f t="shared" si="7"/>
        <v>0</v>
      </c>
      <c r="X8" s="15">
        <f t="shared" si="8"/>
        <v>0</v>
      </c>
      <c r="Y8" s="15">
        <f t="shared" si="9"/>
        <v>0</v>
      </c>
      <c r="Z8" s="15">
        <f t="shared" si="10"/>
        <v>0</v>
      </c>
      <c r="AA8" s="16">
        <f t="shared" si="11"/>
        <v>40</v>
      </c>
      <c r="AB8" s="16" t="str">
        <f t="shared" si="12"/>
        <v>Red</v>
      </c>
      <c r="AC8" s="2"/>
    </row>
    <row r="9" spans="1:29" ht="19.5" customHeight="1" thickBot="1" x14ac:dyDescent="0.35">
      <c r="A9" s="21" t="s">
        <v>11</v>
      </c>
      <c r="B9" s="21"/>
      <c r="C9" s="22">
        <v>5</v>
      </c>
      <c r="D9" s="22">
        <v>0</v>
      </c>
      <c r="E9" s="22">
        <v>0</v>
      </c>
      <c r="F9" s="22">
        <v>0</v>
      </c>
      <c r="G9" s="22">
        <v>0</v>
      </c>
      <c r="H9" s="22">
        <v>6</v>
      </c>
      <c r="I9" s="22">
        <v>3</v>
      </c>
      <c r="J9" s="22">
        <v>0</v>
      </c>
      <c r="K9" s="22">
        <v>5</v>
      </c>
      <c r="L9" s="22">
        <v>1</v>
      </c>
      <c r="M9" s="22">
        <v>7</v>
      </c>
      <c r="N9" s="23">
        <v>5170330</v>
      </c>
      <c r="O9" s="22">
        <v>13</v>
      </c>
      <c r="P9" s="13">
        <f t="shared" si="0"/>
        <v>9</v>
      </c>
      <c r="Q9" s="14">
        <f t="shared" si="1"/>
        <v>1.8</v>
      </c>
      <c r="R9" s="14">
        <f t="shared" si="2"/>
        <v>0.2</v>
      </c>
      <c r="S9" s="14">
        <f t="shared" si="3"/>
        <v>1.4</v>
      </c>
      <c r="T9" s="15">
        <f t="shared" si="4"/>
        <v>15</v>
      </c>
      <c r="U9" s="15">
        <f t="shared" si="5"/>
        <v>10</v>
      </c>
      <c r="V9" s="15">
        <f t="shared" si="6"/>
        <v>20</v>
      </c>
      <c r="W9" s="15">
        <f t="shared" si="7"/>
        <v>0</v>
      </c>
      <c r="X9" s="15">
        <f t="shared" si="8"/>
        <v>10</v>
      </c>
      <c r="Y9" s="15">
        <f t="shared" si="9"/>
        <v>5</v>
      </c>
      <c r="Z9" s="15">
        <f t="shared" si="10"/>
        <v>5</v>
      </c>
      <c r="AA9" s="16">
        <f t="shared" si="11"/>
        <v>65</v>
      </c>
      <c r="AB9" s="16" t="str">
        <f t="shared" si="12"/>
        <v>Amber</v>
      </c>
      <c r="AC9" s="1"/>
    </row>
    <row r="10" spans="1:29" ht="19.5" customHeight="1" thickBot="1" x14ac:dyDescent="0.35">
      <c r="A10" s="21" t="s">
        <v>10</v>
      </c>
      <c r="B10" s="21"/>
      <c r="C10" s="22">
        <v>3</v>
      </c>
      <c r="D10" s="22">
        <v>1</v>
      </c>
      <c r="E10" s="22">
        <v>1</v>
      </c>
      <c r="F10" s="22">
        <v>0</v>
      </c>
      <c r="G10" s="22">
        <v>0</v>
      </c>
      <c r="H10" s="22">
        <v>4</v>
      </c>
      <c r="I10" s="22">
        <v>6</v>
      </c>
      <c r="J10" s="22">
        <v>1</v>
      </c>
      <c r="K10" s="22">
        <v>4</v>
      </c>
      <c r="L10" s="22">
        <v>0</v>
      </c>
      <c r="M10" s="22">
        <v>9</v>
      </c>
      <c r="N10" s="23">
        <v>2120000</v>
      </c>
      <c r="O10" s="22">
        <v>0</v>
      </c>
      <c r="P10" s="13">
        <f t="shared" si="0"/>
        <v>10</v>
      </c>
      <c r="Q10" s="14">
        <f t="shared" si="1"/>
        <v>2</v>
      </c>
      <c r="R10" s="14">
        <f t="shared" si="2"/>
        <v>0</v>
      </c>
      <c r="S10" s="14">
        <f t="shared" si="3"/>
        <v>1.8</v>
      </c>
      <c r="T10" s="15">
        <f t="shared" si="4"/>
        <v>10</v>
      </c>
      <c r="U10" s="15">
        <f t="shared" si="5"/>
        <v>5</v>
      </c>
      <c r="V10" s="15">
        <f t="shared" si="6"/>
        <v>20</v>
      </c>
      <c r="W10" s="15">
        <f t="shared" si="7"/>
        <v>0</v>
      </c>
      <c r="X10" s="15">
        <f t="shared" si="8"/>
        <v>0</v>
      </c>
      <c r="Y10" s="15">
        <f t="shared" si="9"/>
        <v>5</v>
      </c>
      <c r="Z10" s="15">
        <f t="shared" si="10"/>
        <v>0</v>
      </c>
      <c r="AA10" s="16">
        <f t="shared" si="11"/>
        <v>40</v>
      </c>
      <c r="AB10" s="16" t="str">
        <f t="shared" si="12"/>
        <v>Red</v>
      </c>
      <c r="AC10" s="1"/>
    </row>
    <row r="11" spans="1:29" ht="19.5" customHeight="1" thickBot="1" x14ac:dyDescent="0.35">
      <c r="A11" s="21" t="s">
        <v>14</v>
      </c>
      <c r="B11" s="21"/>
      <c r="C11" s="22">
        <v>5</v>
      </c>
      <c r="D11" s="22">
        <v>0</v>
      </c>
      <c r="E11" s="22">
        <v>0</v>
      </c>
      <c r="F11" s="22">
        <v>0</v>
      </c>
      <c r="G11" s="22">
        <v>0</v>
      </c>
      <c r="H11" s="22">
        <v>8</v>
      </c>
      <c r="I11" s="22">
        <v>17</v>
      </c>
      <c r="J11" s="22">
        <v>5</v>
      </c>
      <c r="K11" s="22">
        <v>8</v>
      </c>
      <c r="L11" s="22">
        <v>0</v>
      </c>
      <c r="M11" s="22">
        <v>14</v>
      </c>
      <c r="N11" s="23">
        <v>1084200</v>
      </c>
      <c r="O11" s="22">
        <v>5</v>
      </c>
      <c r="P11" s="13">
        <f t="shared" si="0"/>
        <v>25</v>
      </c>
      <c r="Q11" s="14">
        <f t="shared" si="1"/>
        <v>5</v>
      </c>
      <c r="R11" s="14">
        <f t="shared" si="2"/>
        <v>0</v>
      </c>
      <c r="S11" s="14">
        <f t="shared" si="3"/>
        <v>2.8</v>
      </c>
      <c r="T11" s="15">
        <f t="shared" si="4"/>
        <v>15</v>
      </c>
      <c r="U11" s="15">
        <f t="shared" si="5"/>
        <v>10</v>
      </c>
      <c r="V11" s="15">
        <f t="shared" si="6"/>
        <v>20</v>
      </c>
      <c r="W11" s="15">
        <f t="shared" si="7"/>
        <v>0</v>
      </c>
      <c r="X11" s="15">
        <f t="shared" si="8"/>
        <v>0</v>
      </c>
      <c r="Y11" s="15">
        <f t="shared" si="9"/>
        <v>10</v>
      </c>
      <c r="Z11" s="15">
        <f t="shared" si="10"/>
        <v>0</v>
      </c>
      <c r="AA11" s="16">
        <f t="shared" si="11"/>
        <v>55</v>
      </c>
      <c r="AB11" s="16" t="str">
        <f t="shared" si="12"/>
        <v>Amber</v>
      </c>
      <c r="AC11" s="2"/>
    </row>
    <row r="12" spans="1:29" ht="19.5" customHeight="1" thickBot="1" x14ac:dyDescent="0.35">
      <c r="A12" s="21" t="s">
        <v>25</v>
      </c>
      <c r="B12" s="21"/>
      <c r="C12" s="22">
        <v>3</v>
      </c>
      <c r="D12" s="22">
        <v>0</v>
      </c>
      <c r="E12" s="22">
        <v>0</v>
      </c>
      <c r="F12" s="22">
        <v>0</v>
      </c>
      <c r="G12" s="22">
        <v>2</v>
      </c>
      <c r="H12" s="22">
        <v>2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3">
        <v>0</v>
      </c>
      <c r="O12" s="22">
        <v>0</v>
      </c>
      <c r="P12" s="13">
        <f t="shared" si="0"/>
        <v>3</v>
      </c>
      <c r="Q12" s="14">
        <f t="shared" si="1"/>
        <v>0.6</v>
      </c>
      <c r="R12" s="14">
        <f t="shared" si="2"/>
        <v>0</v>
      </c>
      <c r="S12" s="14">
        <f t="shared" si="3"/>
        <v>0</v>
      </c>
      <c r="T12" s="15">
        <f t="shared" si="4"/>
        <v>15</v>
      </c>
      <c r="U12" s="15">
        <f t="shared" si="5"/>
        <v>10</v>
      </c>
      <c r="V12" s="15">
        <f t="shared" si="6"/>
        <v>5</v>
      </c>
      <c r="W12" s="15">
        <f t="shared" si="7"/>
        <v>0</v>
      </c>
      <c r="X12" s="15">
        <f t="shared" si="8"/>
        <v>0</v>
      </c>
      <c r="Y12" s="15">
        <f t="shared" si="9"/>
        <v>0</v>
      </c>
      <c r="Z12" s="15">
        <f t="shared" si="10"/>
        <v>0</v>
      </c>
      <c r="AA12" s="16">
        <f t="shared" si="11"/>
        <v>30</v>
      </c>
      <c r="AB12" s="16" t="str">
        <f t="shared" si="12"/>
        <v>Red</v>
      </c>
      <c r="AC12" s="2"/>
    </row>
    <row r="13" spans="1:29" ht="19.5" customHeight="1" thickBot="1" x14ac:dyDescent="0.35">
      <c r="A13" s="21" t="s">
        <v>28</v>
      </c>
      <c r="B13" s="21"/>
      <c r="C13" s="22">
        <v>4</v>
      </c>
      <c r="D13" s="22">
        <v>0</v>
      </c>
      <c r="E13" s="22">
        <v>0</v>
      </c>
      <c r="F13" s="22">
        <v>1</v>
      </c>
      <c r="G13" s="22">
        <v>0</v>
      </c>
      <c r="H13" s="22">
        <v>14</v>
      </c>
      <c r="I13" s="22">
        <v>0</v>
      </c>
      <c r="J13" s="22">
        <v>4</v>
      </c>
      <c r="K13" s="22">
        <v>14</v>
      </c>
      <c r="L13" s="22">
        <v>2</v>
      </c>
      <c r="M13" s="22">
        <v>13</v>
      </c>
      <c r="N13" s="23">
        <v>218000</v>
      </c>
      <c r="O13" s="22">
        <v>8</v>
      </c>
      <c r="P13" s="13">
        <f t="shared" si="0"/>
        <v>14</v>
      </c>
      <c r="Q13" s="14">
        <f t="shared" si="1"/>
        <v>2.8</v>
      </c>
      <c r="R13" s="14">
        <f t="shared" si="2"/>
        <v>0.4</v>
      </c>
      <c r="S13" s="14">
        <f t="shared" si="3"/>
        <v>2.6</v>
      </c>
      <c r="T13" s="15">
        <f t="shared" si="4"/>
        <v>15</v>
      </c>
      <c r="U13" s="15">
        <f t="shared" si="5"/>
        <v>10</v>
      </c>
      <c r="V13" s="15">
        <f t="shared" si="6"/>
        <v>20</v>
      </c>
      <c r="W13" s="15">
        <f t="shared" si="7"/>
        <v>0</v>
      </c>
      <c r="X13" s="15">
        <f t="shared" si="8"/>
        <v>15</v>
      </c>
      <c r="Y13" s="15">
        <f t="shared" si="9"/>
        <v>10</v>
      </c>
      <c r="Z13" s="15">
        <f t="shared" si="10"/>
        <v>0</v>
      </c>
      <c r="AA13" s="16">
        <f t="shared" si="11"/>
        <v>70</v>
      </c>
      <c r="AB13" s="16" t="str">
        <f t="shared" si="12"/>
        <v>Green</v>
      </c>
      <c r="AC13" s="2"/>
    </row>
    <row r="14" spans="1:29" ht="19.5" customHeight="1" thickBot="1" x14ac:dyDescent="0.35">
      <c r="A14" s="21" t="s">
        <v>27</v>
      </c>
      <c r="B14" s="21"/>
      <c r="C14" s="22">
        <v>5</v>
      </c>
      <c r="D14" s="22">
        <v>0</v>
      </c>
      <c r="E14" s="22">
        <v>0</v>
      </c>
      <c r="F14" s="22">
        <v>0</v>
      </c>
      <c r="G14" s="22">
        <v>0</v>
      </c>
      <c r="H14" s="22">
        <v>6</v>
      </c>
      <c r="I14" s="22">
        <v>2</v>
      </c>
      <c r="J14" s="22">
        <v>3</v>
      </c>
      <c r="K14" s="22">
        <v>9</v>
      </c>
      <c r="L14" s="22">
        <v>1</v>
      </c>
      <c r="M14" s="22">
        <v>12</v>
      </c>
      <c r="N14" s="23">
        <v>2009000</v>
      </c>
      <c r="O14" s="24">
        <v>57</v>
      </c>
      <c r="P14" s="13">
        <f t="shared" si="0"/>
        <v>8</v>
      </c>
      <c r="Q14" s="14">
        <f t="shared" si="1"/>
        <v>1.6</v>
      </c>
      <c r="R14" s="14">
        <f t="shared" si="2"/>
        <v>0.2</v>
      </c>
      <c r="S14" s="14">
        <f t="shared" si="3"/>
        <v>2.4</v>
      </c>
      <c r="T14" s="15">
        <f t="shared" si="4"/>
        <v>15</v>
      </c>
      <c r="U14" s="15">
        <f t="shared" si="5"/>
        <v>10</v>
      </c>
      <c r="V14" s="15">
        <f t="shared" si="6"/>
        <v>20</v>
      </c>
      <c r="W14" s="15">
        <f t="shared" si="7"/>
        <v>0</v>
      </c>
      <c r="X14" s="15">
        <f t="shared" si="8"/>
        <v>10</v>
      </c>
      <c r="Y14" s="15">
        <f t="shared" si="9"/>
        <v>10</v>
      </c>
      <c r="Z14" s="15">
        <f t="shared" si="10"/>
        <v>10</v>
      </c>
      <c r="AA14" s="16">
        <f t="shared" si="11"/>
        <v>75</v>
      </c>
      <c r="AB14" s="16" t="str">
        <f t="shared" si="12"/>
        <v>Green</v>
      </c>
      <c r="AC14" s="2"/>
    </row>
    <row r="15" spans="1:29" ht="19.5" customHeight="1" thickBot="1" x14ac:dyDescent="0.35">
      <c r="A15" s="21" t="s">
        <v>60</v>
      </c>
      <c r="B15" s="21"/>
      <c r="C15" s="22">
        <v>5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3</v>
      </c>
      <c r="N15" s="23">
        <v>0</v>
      </c>
      <c r="O15" s="22">
        <v>3</v>
      </c>
      <c r="P15" s="13">
        <f t="shared" si="0"/>
        <v>0</v>
      </c>
      <c r="Q15" s="14">
        <f t="shared" si="1"/>
        <v>0</v>
      </c>
      <c r="R15" s="14">
        <f t="shared" si="2"/>
        <v>0</v>
      </c>
      <c r="S15" s="14">
        <f t="shared" si="3"/>
        <v>0.6</v>
      </c>
      <c r="T15" s="15">
        <f t="shared" si="4"/>
        <v>15</v>
      </c>
      <c r="U15" s="15">
        <f t="shared" si="5"/>
        <v>10</v>
      </c>
      <c r="V15" s="15">
        <f t="shared" si="6"/>
        <v>0</v>
      </c>
      <c r="W15" s="15">
        <f t="shared" si="7"/>
        <v>0</v>
      </c>
      <c r="X15" s="15">
        <f t="shared" si="8"/>
        <v>0</v>
      </c>
      <c r="Y15" s="15">
        <f t="shared" si="9"/>
        <v>0</v>
      </c>
      <c r="Z15" s="15">
        <f t="shared" si="10"/>
        <v>0</v>
      </c>
      <c r="AA15" s="16">
        <f t="shared" si="11"/>
        <v>25</v>
      </c>
      <c r="AB15" s="16" t="str">
        <f t="shared" si="12"/>
        <v>Grey</v>
      </c>
      <c r="AC15" s="2"/>
    </row>
    <row r="16" spans="1:29" ht="19.5" customHeight="1" thickBot="1" x14ac:dyDescent="0.35">
      <c r="A16" s="21" t="s">
        <v>26</v>
      </c>
      <c r="B16" s="21"/>
      <c r="C16" s="22">
        <v>5</v>
      </c>
      <c r="D16" s="22">
        <v>0</v>
      </c>
      <c r="E16" s="22">
        <v>0</v>
      </c>
      <c r="F16" s="22">
        <v>0</v>
      </c>
      <c r="G16" s="22">
        <v>0</v>
      </c>
      <c r="H16" s="22">
        <v>3</v>
      </c>
      <c r="I16" s="22">
        <v>25</v>
      </c>
      <c r="J16" s="22">
        <v>1</v>
      </c>
      <c r="K16" s="22">
        <v>0</v>
      </c>
      <c r="L16" s="22">
        <v>3</v>
      </c>
      <c r="M16" s="22">
        <v>20</v>
      </c>
      <c r="N16" s="23">
        <v>759000</v>
      </c>
      <c r="O16" s="22">
        <v>19</v>
      </c>
      <c r="P16" s="13">
        <f t="shared" si="0"/>
        <v>28</v>
      </c>
      <c r="Q16" s="14">
        <f t="shared" si="1"/>
        <v>5.6</v>
      </c>
      <c r="R16" s="14">
        <f t="shared" si="2"/>
        <v>0.6</v>
      </c>
      <c r="S16" s="14">
        <f t="shared" si="3"/>
        <v>4</v>
      </c>
      <c r="T16" s="15">
        <f t="shared" si="4"/>
        <v>15</v>
      </c>
      <c r="U16" s="15">
        <f t="shared" si="5"/>
        <v>10</v>
      </c>
      <c r="V16" s="15">
        <f t="shared" si="6"/>
        <v>20</v>
      </c>
      <c r="W16" s="15">
        <f t="shared" si="7"/>
        <v>0</v>
      </c>
      <c r="X16" s="15">
        <f t="shared" si="8"/>
        <v>20</v>
      </c>
      <c r="Y16" s="15">
        <f t="shared" si="9"/>
        <v>10</v>
      </c>
      <c r="Z16" s="15">
        <f t="shared" si="10"/>
        <v>5</v>
      </c>
      <c r="AA16" s="16">
        <f t="shared" si="11"/>
        <v>80</v>
      </c>
      <c r="AB16" s="16" t="str">
        <f t="shared" si="12"/>
        <v>Green</v>
      </c>
      <c r="AC16" s="1"/>
    </row>
    <row r="17" spans="1:29" ht="19.5" customHeight="1" thickBot="1" x14ac:dyDescent="0.35">
      <c r="A17" s="21" t="s">
        <v>31</v>
      </c>
      <c r="B17" s="21"/>
      <c r="C17" s="22">
        <v>5</v>
      </c>
      <c r="D17" s="22">
        <v>0</v>
      </c>
      <c r="E17" s="22">
        <v>0</v>
      </c>
      <c r="F17" s="22">
        <v>0</v>
      </c>
      <c r="G17" s="22">
        <v>0</v>
      </c>
      <c r="H17" s="22">
        <v>2</v>
      </c>
      <c r="I17" s="22">
        <v>11</v>
      </c>
      <c r="J17" s="22">
        <v>1</v>
      </c>
      <c r="K17" s="22">
        <v>2</v>
      </c>
      <c r="L17" s="24">
        <v>6</v>
      </c>
      <c r="M17" s="22">
        <v>20</v>
      </c>
      <c r="N17" s="23">
        <v>325000</v>
      </c>
      <c r="O17" s="22">
        <v>26</v>
      </c>
      <c r="P17" s="13">
        <f t="shared" si="0"/>
        <v>13</v>
      </c>
      <c r="Q17" s="14">
        <f t="shared" si="1"/>
        <v>2.6</v>
      </c>
      <c r="R17" s="14">
        <f t="shared" si="2"/>
        <v>1.2</v>
      </c>
      <c r="S17" s="14">
        <f t="shared" si="3"/>
        <v>4</v>
      </c>
      <c r="T17" s="15">
        <f t="shared" si="4"/>
        <v>15</v>
      </c>
      <c r="U17" s="15">
        <f t="shared" si="5"/>
        <v>10</v>
      </c>
      <c r="V17" s="15">
        <f t="shared" si="6"/>
        <v>20</v>
      </c>
      <c r="W17" s="15">
        <f t="shared" si="7"/>
        <v>0</v>
      </c>
      <c r="X17" s="15">
        <f t="shared" si="8"/>
        <v>20</v>
      </c>
      <c r="Y17" s="15">
        <f t="shared" si="9"/>
        <v>10</v>
      </c>
      <c r="Z17" s="15">
        <f t="shared" si="10"/>
        <v>10</v>
      </c>
      <c r="AA17" s="16">
        <f t="shared" si="11"/>
        <v>85</v>
      </c>
      <c r="AB17" s="16" t="str">
        <f t="shared" si="12"/>
        <v>Green</v>
      </c>
      <c r="AC17" s="1"/>
    </row>
    <row r="18" spans="1:29" ht="19.5" customHeight="1" thickBot="1" x14ac:dyDescent="0.35">
      <c r="A18" s="21" t="s">
        <v>29</v>
      </c>
      <c r="B18" s="21"/>
      <c r="C18" s="22">
        <v>4</v>
      </c>
      <c r="D18" s="22">
        <v>0</v>
      </c>
      <c r="E18" s="22">
        <v>0</v>
      </c>
      <c r="F18" s="22">
        <v>0</v>
      </c>
      <c r="G18" s="22">
        <v>1</v>
      </c>
      <c r="H18" s="22">
        <v>3</v>
      </c>
      <c r="I18" s="22">
        <v>13</v>
      </c>
      <c r="J18" s="22">
        <v>6</v>
      </c>
      <c r="K18" s="22">
        <v>3</v>
      </c>
      <c r="L18" s="22">
        <v>1</v>
      </c>
      <c r="M18" s="22">
        <v>17</v>
      </c>
      <c r="N18" s="23">
        <v>2254780</v>
      </c>
      <c r="O18" s="22">
        <v>15</v>
      </c>
      <c r="P18" s="13">
        <f t="shared" si="0"/>
        <v>16</v>
      </c>
      <c r="Q18" s="14">
        <f t="shared" si="1"/>
        <v>3.2</v>
      </c>
      <c r="R18" s="14">
        <f t="shared" si="2"/>
        <v>0.2</v>
      </c>
      <c r="S18" s="14">
        <f t="shared" si="3"/>
        <v>3.4</v>
      </c>
      <c r="T18" s="15">
        <f t="shared" si="4"/>
        <v>15</v>
      </c>
      <c r="U18" s="15">
        <f t="shared" si="5"/>
        <v>10</v>
      </c>
      <c r="V18" s="15">
        <f t="shared" si="6"/>
        <v>20</v>
      </c>
      <c r="W18" s="15">
        <f t="shared" si="7"/>
        <v>0</v>
      </c>
      <c r="X18" s="15">
        <f t="shared" si="8"/>
        <v>10</v>
      </c>
      <c r="Y18" s="15">
        <f t="shared" si="9"/>
        <v>10</v>
      </c>
      <c r="Z18" s="15">
        <f t="shared" si="10"/>
        <v>5</v>
      </c>
      <c r="AA18" s="16">
        <f t="shared" si="11"/>
        <v>70</v>
      </c>
      <c r="AB18" s="16" t="str">
        <f t="shared" si="12"/>
        <v>Green</v>
      </c>
      <c r="AC18" s="2"/>
    </row>
    <row r="19" spans="1:29" ht="19.5" customHeight="1" thickBot="1" x14ac:dyDescent="0.35">
      <c r="A19" s="21" t="s">
        <v>30</v>
      </c>
      <c r="B19" s="21"/>
      <c r="C19" s="22">
        <v>4</v>
      </c>
      <c r="D19" s="22">
        <v>0</v>
      </c>
      <c r="E19" s="22">
        <v>0</v>
      </c>
      <c r="F19" s="22">
        <v>0</v>
      </c>
      <c r="G19" s="22">
        <v>1</v>
      </c>
      <c r="H19" s="22">
        <v>2</v>
      </c>
      <c r="I19" s="22">
        <v>5</v>
      </c>
      <c r="J19" s="22">
        <v>1</v>
      </c>
      <c r="K19" s="22">
        <v>12</v>
      </c>
      <c r="L19" s="22">
        <v>1</v>
      </c>
      <c r="M19" s="22">
        <v>9</v>
      </c>
      <c r="N19" s="23">
        <v>148890000</v>
      </c>
      <c r="O19" s="22">
        <v>10</v>
      </c>
      <c r="P19" s="13">
        <f t="shared" si="0"/>
        <v>7</v>
      </c>
      <c r="Q19" s="14">
        <f t="shared" si="1"/>
        <v>1.4</v>
      </c>
      <c r="R19" s="14">
        <f t="shared" si="2"/>
        <v>0.2</v>
      </c>
      <c r="S19" s="14">
        <f t="shared" si="3"/>
        <v>1.8</v>
      </c>
      <c r="T19" s="15">
        <f t="shared" si="4"/>
        <v>15</v>
      </c>
      <c r="U19" s="15">
        <f t="shared" si="5"/>
        <v>10</v>
      </c>
      <c r="V19" s="15">
        <f t="shared" si="6"/>
        <v>20</v>
      </c>
      <c r="W19" s="15">
        <f t="shared" si="7"/>
        <v>15</v>
      </c>
      <c r="X19" s="15">
        <f t="shared" si="8"/>
        <v>10</v>
      </c>
      <c r="Y19" s="15">
        <f t="shared" si="9"/>
        <v>5</v>
      </c>
      <c r="Z19" s="15">
        <f t="shared" si="10"/>
        <v>5</v>
      </c>
      <c r="AA19" s="16">
        <f t="shared" si="11"/>
        <v>80</v>
      </c>
      <c r="AB19" s="16" t="str">
        <f t="shared" si="12"/>
        <v>Green</v>
      </c>
      <c r="AC19" s="2"/>
    </row>
    <row r="20" spans="1:29" ht="19.5" customHeight="1" thickBot="1" x14ac:dyDescent="0.35">
      <c r="A20" s="21" t="s">
        <v>32</v>
      </c>
      <c r="B20" s="21"/>
      <c r="C20" s="22">
        <v>5</v>
      </c>
      <c r="D20" s="22">
        <v>0</v>
      </c>
      <c r="E20" s="22">
        <v>0</v>
      </c>
      <c r="F20" s="22">
        <v>0</v>
      </c>
      <c r="G20" s="22">
        <v>0</v>
      </c>
      <c r="H20" s="22">
        <v>2</v>
      </c>
      <c r="I20" s="22">
        <v>4</v>
      </c>
      <c r="J20" s="22">
        <v>11</v>
      </c>
      <c r="K20" s="22">
        <v>5</v>
      </c>
      <c r="L20" s="22">
        <v>0</v>
      </c>
      <c r="M20" s="22">
        <v>13</v>
      </c>
      <c r="N20" s="23">
        <v>1264600</v>
      </c>
      <c r="O20" s="22">
        <v>10</v>
      </c>
      <c r="P20" s="13">
        <f t="shared" si="0"/>
        <v>6</v>
      </c>
      <c r="Q20" s="14">
        <f t="shared" si="1"/>
        <v>1.2</v>
      </c>
      <c r="R20" s="14">
        <f t="shared" si="2"/>
        <v>0</v>
      </c>
      <c r="S20" s="14">
        <f t="shared" si="3"/>
        <v>2.6</v>
      </c>
      <c r="T20" s="15">
        <f t="shared" si="4"/>
        <v>15</v>
      </c>
      <c r="U20" s="15">
        <f t="shared" si="5"/>
        <v>10</v>
      </c>
      <c r="V20" s="15">
        <f t="shared" si="6"/>
        <v>20</v>
      </c>
      <c r="W20" s="15">
        <f t="shared" si="7"/>
        <v>0</v>
      </c>
      <c r="X20" s="15">
        <f t="shared" si="8"/>
        <v>0</v>
      </c>
      <c r="Y20" s="15">
        <f t="shared" si="9"/>
        <v>10</v>
      </c>
      <c r="Z20" s="15">
        <f t="shared" si="10"/>
        <v>5</v>
      </c>
      <c r="AA20" s="16">
        <f t="shared" si="11"/>
        <v>60</v>
      </c>
      <c r="AB20" s="16" t="str">
        <f t="shared" si="12"/>
        <v>Amber</v>
      </c>
      <c r="AC20" s="1"/>
    </row>
    <row r="21" spans="1:29" ht="19.5" customHeight="1" thickBot="1" x14ac:dyDescent="0.35">
      <c r="A21" s="21" t="s">
        <v>62</v>
      </c>
      <c r="B21" s="21"/>
      <c r="C21" s="22">
        <v>1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3">
        <v>0</v>
      </c>
      <c r="O21" s="22">
        <v>0</v>
      </c>
      <c r="P21" s="13">
        <f t="shared" si="0"/>
        <v>0</v>
      </c>
      <c r="Q21" s="14">
        <f t="shared" si="1"/>
        <v>0</v>
      </c>
      <c r="R21" s="14">
        <f t="shared" si="2"/>
        <v>0</v>
      </c>
      <c r="S21" s="14">
        <f t="shared" si="3"/>
        <v>0</v>
      </c>
      <c r="T21" s="15">
        <f t="shared" si="4"/>
        <v>15</v>
      </c>
      <c r="U21" s="15">
        <f t="shared" si="5"/>
        <v>10</v>
      </c>
      <c r="V21" s="15">
        <f t="shared" si="6"/>
        <v>0</v>
      </c>
      <c r="W21" s="15">
        <f t="shared" si="7"/>
        <v>0</v>
      </c>
      <c r="X21" s="15">
        <f t="shared" si="8"/>
        <v>0</v>
      </c>
      <c r="Y21" s="15">
        <f t="shared" si="9"/>
        <v>0</v>
      </c>
      <c r="Z21" s="15">
        <f t="shared" si="10"/>
        <v>0</v>
      </c>
      <c r="AA21" s="16">
        <f t="shared" si="11"/>
        <v>25</v>
      </c>
      <c r="AB21" s="16" t="str">
        <f t="shared" si="12"/>
        <v>Grey</v>
      </c>
      <c r="AC21" s="2"/>
    </row>
    <row r="22" spans="1:29" ht="19.5" customHeight="1" thickBot="1" x14ac:dyDescent="0.35">
      <c r="A22" s="21" t="s">
        <v>18</v>
      </c>
      <c r="B22" s="21"/>
      <c r="C22" s="22">
        <v>3</v>
      </c>
      <c r="D22" s="22">
        <v>2</v>
      </c>
      <c r="E22" s="22">
        <v>0</v>
      </c>
      <c r="F22" s="22">
        <v>0</v>
      </c>
      <c r="G22" s="22">
        <v>0</v>
      </c>
      <c r="H22" s="22">
        <v>1</v>
      </c>
      <c r="I22" s="22">
        <v>3</v>
      </c>
      <c r="J22" s="22">
        <v>0</v>
      </c>
      <c r="K22" s="22">
        <v>3</v>
      </c>
      <c r="L22" s="22">
        <v>0</v>
      </c>
      <c r="M22" s="22">
        <v>2</v>
      </c>
      <c r="N22" s="23">
        <v>6341000</v>
      </c>
      <c r="O22" s="22">
        <v>0</v>
      </c>
      <c r="P22" s="13">
        <f t="shared" si="0"/>
        <v>4</v>
      </c>
      <c r="Q22" s="14">
        <f t="shared" si="1"/>
        <v>0.8</v>
      </c>
      <c r="R22" s="14">
        <f t="shared" si="2"/>
        <v>0</v>
      </c>
      <c r="S22" s="14">
        <f t="shared" si="3"/>
        <v>0.4</v>
      </c>
      <c r="T22" s="15">
        <f t="shared" si="4"/>
        <v>5</v>
      </c>
      <c r="U22" s="15">
        <f t="shared" si="5"/>
        <v>10</v>
      </c>
      <c r="V22" s="15">
        <f t="shared" si="6"/>
        <v>10</v>
      </c>
      <c r="W22" s="15">
        <f t="shared" si="7"/>
        <v>0</v>
      </c>
      <c r="X22" s="15">
        <f t="shared" si="8"/>
        <v>0</v>
      </c>
      <c r="Y22" s="15">
        <f t="shared" si="9"/>
        <v>0</v>
      </c>
      <c r="Z22" s="15">
        <f t="shared" si="10"/>
        <v>0</v>
      </c>
      <c r="AA22" s="16">
        <f t="shared" si="11"/>
        <v>25</v>
      </c>
      <c r="AB22" s="16" t="str">
        <f t="shared" si="12"/>
        <v>Grey</v>
      </c>
      <c r="AC22" s="1"/>
    </row>
    <row r="23" spans="1:29" ht="19.5" customHeight="1" thickBot="1" x14ac:dyDescent="0.35">
      <c r="A23" s="21" t="s">
        <v>22</v>
      </c>
      <c r="B23" s="21"/>
      <c r="C23" s="22">
        <v>3</v>
      </c>
      <c r="D23" s="22">
        <v>1</v>
      </c>
      <c r="E23" s="22">
        <v>0</v>
      </c>
      <c r="F23" s="22">
        <v>0</v>
      </c>
      <c r="G23" s="22">
        <v>1</v>
      </c>
      <c r="H23" s="22">
        <v>4</v>
      </c>
      <c r="I23" s="22">
        <v>4</v>
      </c>
      <c r="J23" s="22">
        <v>0</v>
      </c>
      <c r="K23" s="22">
        <v>1</v>
      </c>
      <c r="L23" s="22">
        <v>0</v>
      </c>
      <c r="M23" s="22">
        <v>9</v>
      </c>
      <c r="N23" s="23">
        <v>13580000</v>
      </c>
      <c r="O23" s="22">
        <v>7</v>
      </c>
      <c r="P23" s="13">
        <f t="shared" si="0"/>
        <v>8</v>
      </c>
      <c r="Q23" s="14">
        <f t="shared" si="1"/>
        <v>1.6</v>
      </c>
      <c r="R23" s="14">
        <f t="shared" si="2"/>
        <v>0</v>
      </c>
      <c r="S23" s="14">
        <f t="shared" si="3"/>
        <v>1.8</v>
      </c>
      <c r="T23" s="15">
        <f t="shared" si="4"/>
        <v>10</v>
      </c>
      <c r="U23" s="15">
        <f t="shared" si="5"/>
        <v>10</v>
      </c>
      <c r="V23" s="15">
        <f t="shared" si="6"/>
        <v>20</v>
      </c>
      <c r="W23" s="15">
        <f t="shared" si="7"/>
        <v>0</v>
      </c>
      <c r="X23" s="15">
        <f t="shared" si="8"/>
        <v>0</v>
      </c>
      <c r="Y23" s="15">
        <f t="shared" si="9"/>
        <v>5</v>
      </c>
      <c r="Z23" s="15">
        <f t="shared" si="10"/>
        <v>0</v>
      </c>
      <c r="AA23" s="16">
        <f t="shared" si="11"/>
        <v>45</v>
      </c>
      <c r="AB23" s="16" t="str">
        <f t="shared" si="12"/>
        <v>Red</v>
      </c>
      <c r="AC23" s="2"/>
    </row>
    <row r="24" spans="1:29" ht="19.5" customHeight="1" thickBot="1" x14ac:dyDescent="0.35">
      <c r="A24" s="21" t="s">
        <v>19</v>
      </c>
      <c r="B24" s="21"/>
      <c r="C24" s="22">
        <v>4</v>
      </c>
      <c r="D24" s="22">
        <v>0</v>
      </c>
      <c r="E24" s="22">
        <v>0</v>
      </c>
      <c r="F24" s="22">
        <v>0</v>
      </c>
      <c r="G24" s="22">
        <v>1</v>
      </c>
      <c r="H24" s="22">
        <v>8</v>
      </c>
      <c r="I24" s="22">
        <v>3</v>
      </c>
      <c r="J24" s="22">
        <v>0</v>
      </c>
      <c r="K24" s="22">
        <v>2</v>
      </c>
      <c r="L24" s="22">
        <v>0</v>
      </c>
      <c r="M24" s="22">
        <v>21</v>
      </c>
      <c r="N24" s="23">
        <v>776000</v>
      </c>
      <c r="O24" s="22">
        <v>18</v>
      </c>
      <c r="P24" s="13">
        <f t="shared" si="0"/>
        <v>11</v>
      </c>
      <c r="Q24" s="14">
        <f t="shared" si="1"/>
        <v>2.2000000000000002</v>
      </c>
      <c r="R24" s="14">
        <f t="shared" si="2"/>
        <v>0</v>
      </c>
      <c r="S24" s="14">
        <f t="shared" si="3"/>
        <v>4.2</v>
      </c>
      <c r="T24" s="15">
        <f t="shared" si="4"/>
        <v>15</v>
      </c>
      <c r="U24" s="15">
        <f t="shared" si="5"/>
        <v>10</v>
      </c>
      <c r="V24" s="15">
        <f t="shared" si="6"/>
        <v>20</v>
      </c>
      <c r="W24" s="15">
        <f t="shared" si="7"/>
        <v>0</v>
      </c>
      <c r="X24" s="15">
        <f t="shared" si="8"/>
        <v>0</v>
      </c>
      <c r="Y24" s="15">
        <f t="shared" si="9"/>
        <v>10</v>
      </c>
      <c r="Z24" s="15">
        <f t="shared" si="10"/>
        <v>5</v>
      </c>
      <c r="AA24" s="16">
        <f t="shared" si="11"/>
        <v>60</v>
      </c>
      <c r="AB24" s="16" t="str">
        <f t="shared" si="12"/>
        <v>Amber</v>
      </c>
      <c r="AC24" s="1"/>
    </row>
    <row r="25" spans="1:29" ht="19.5" customHeight="1" thickBot="1" x14ac:dyDescent="0.35">
      <c r="A25" s="21" t="s">
        <v>20</v>
      </c>
      <c r="B25" s="21"/>
      <c r="C25" s="22">
        <v>5</v>
      </c>
      <c r="D25" s="22">
        <v>0</v>
      </c>
      <c r="E25" s="22">
        <v>0</v>
      </c>
      <c r="F25" s="22">
        <v>0</v>
      </c>
      <c r="G25" s="22">
        <v>0</v>
      </c>
      <c r="H25" s="22">
        <v>2</v>
      </c>
      <c r="I25" s="22">
        <v>8</v>
      </c>
      <c r="J25" s="22">
        <v>7</v>
      </c>
      <c r="K25" s="22">
        <v>6</v>
      </c>
      <c r="L25" s="22">
        <v>0</v>
      </c>
      <c r="M25" s="22">
        <v>14</v>
      </c>
      <c r="N25" s="23">
        <v>56600000</v>
      </c>
      <c r="O25" s="22">
        <v>13</v>
      </c>
      <c r="P25" s="13">
        <f t="shared" si="0"/>
        <v>10</v>
      </c>
      <c r="Q25" s="14">
        <f t="shared" si="1"/>
        <v>2</v>
      </c>
      <c r="R25" s="14">
        <f t="shared" si="2"/>
        <v>0</v>
      </c>
      <c r="S25" s="14">
        <f t="shared" si="3"/>
        <v>2.8</v>
      </c>
      <c r="T25" s="15">
        <f t="shared" si="4"/>
        <v>15</v>
      </c>
      <c r="U25" s="15">
        <f t="shared" si="5"/>
        <v>10</v>
      </c>
      <c r="V25" s="15">
        <f t="shared" si="6"/>
        <v>20</v>
      </c>
      <c r="W25" s="15">
        <f t="shared" si="7"/>
        <v>10</v>
      </c>
      <c r="X25" s="15">
        <f t="shared" si="8"/>
        <v>0</v>
      </c>
      <c r="Y25" s="15">
        <f t="shared" si="9"/>
        <v>10</v>
      </c>
      <c r="Z25" s="15">
        <f t="shared" si="10"/>
        <v>5</v>
      </c>
      <c r="AA25" s="16">
        <f t="shared" si="11"/>
        <v>70</v>
      </c>
      <c r="AB25" s="16" t="str">
        <f t="shared" si="12"/>
        <v>Green</v>
      </c>
      <c r="AC25" s="1"/>
    </row>
    <row r="26" spans="1:29" ht="19.5" customHeight="1" thickBot="1" x14ac:dyDescent="0.35">
      <c r="A26" s="21" t="s">
        <v>21</v>
      </c>
      <c r="B26" s="21"/>
      <c r="C26" s="22">
        <v>5</v>
      </c>
      <c r="D26" s="22">
        <v>0</v>
      </c>
      <c r="E26" s="22">
        <v>0</v>
      </c>
      <c r="F26" s="22">
        <v>0</v>
      </c>
      <c r="G26" s="22">
        <v>0</v>
      </c>
      <c r="H26" s="22">
        <v>6</v>
      </c>
      <c r="I26" s="22">
        <v>12</v>
      </c>
      <c r="J26" s="22">
        <v>8</v>
      </c>
      <c r="K26" s="22">
        <v>5</v>
      </c>
      <c r="L26" s="22">
        <v>1</v>
      </c>
      <c r="M26" s="22">
        <v>23</v>
      </c>
      <c r="N26" s="23">
        <v>21439000</v>
      </c>
      <c r="O26" s="22">
        <v>7</v>
      </c>
      <c r="P26" s="13">
        <f t="shared" si="0"/>
        <v>18</v>
      </c>
      <c r="Q26" s="14">
        <f t="shared" si="1"/>
        <v>3.6</v>
      </c>
      <c r="R26" s="14">
        <f t="shared" si="2"/>
        <v>0.2</v>
      </c>
      <c r="S26" s="14">
        <f t="shared" si="3"/>
        <v>4.5999999999999996</v>
      </c>
      <c r="T26" s="15">
        <f t="shared" si="4"/>
        <v>15</v>
      </c>
      <c r="U26" s="15">
        <f t="shared" si="5"/>
        <v>10</v>
      </c>
      <c r="V26" s="15">
        <f t="shared" si="6"/>
        <v>20</v>
      </c>
      <c r="W26" s="15">
        <f t="shared" si="7"/>
        <v>0</v>
      </c>
      <c r="X26" s="15">
        <f t="shared" si="8"/>
        <v>10</v>
      </c>
      <c r="Y26" s="15">
        <f t="shared" si="9"/>
        <v>10</v>
      </c>
      <c r="Z26" s="15">
        <f t="shared" si="10"/>
        <v>0</v>
      </c>
      <c r="AA26" s="16">
        <f t="shared" si="11"/>
        <v>65</v>
      </c>
      <c r="AB26" s="16" t="str">
        <f t="shared" si="12"/>
        <v>Amber</v>
      </c>
      <c r="AC26" s="1"/>
    </row>
    <row r="27" spans="1:29" ht="19.5" customHeight="1" thickBot="1" x14ac:dyDescent="0.35">
      <c r="A27" s="21" t="s">
        <v>23</v>
      </c>
      <c r="B27" s="21"/>
      <c r="C27" s="22">
        <v>5</v>
      </c>
      <c r="D27" s="22">
        <v>0</v>
      </c>
      <c r="E27" s="22">
        <v>0</v>
      </c>
      <c r="F27" s="22">
        <v>0</v>
      </c>
      <c r="G27" s="22">
        <v>0</v>
      </c>
      <c r="H27" s="22">
        <v>3</v>
      </c>
      <c r="I27" s="22">
        <v>7</v>
      </c>
      <c r="J27" s="22">
        <v>26</v>
      </c>
      <c r="K27" s="22">
        <v>12</v>
      </c>
      <c r="L27" s="22">
        <v>0</v>
      </c>
      <c r="M27" s="22">
        <v>9</v>
      </c>
      <c r="N27" s="23">
        <v>10392300</v>
      </c>
      <c r="O27" s="22">
        <v>4</v>
      </c>
      <c r="P27" s="13">
        <f t="shared" si="0"/>
        <v>10</v>
      </c>
      <c r="Q27" s="14">
        <f t="shared" si="1"/>
        <v>2</v>
      </c>
      <c r="R27" s="14">
        <f t="shared" si="2"/>
        <v>0</v>
      </c>
      <c r="S27" s="14">
        <f t="shared" si="3"/>
        <v>1.8</v>
      </c>
      <c r="T27" s="15">
        <f t="shared" si="4"/>
        <v>15</v>
      </c>
      <c r="U27" s="15">
        <f t="shared" si="5"/>
        <v>10</v>
      </c>
      <c r="V27" s="15">
        <f t="shared" si="6"/>
        <v>20</v>
      </c>
      <c r="W27" s="15">
        <f t="shared" si="7"/>
        <v>0</v>
      </c>
      <c r="X27" s="15">
        <f t="shared" si="8"/>
        <v>0</v>
      </c>
      <c r="Y27" s="15">
        <f t="shared" si="9"/>
        <v>5</v>
      </c>
      <c r="Z27" s="15">
        <f t="shared" si="10"/>
        <v>0</v>
      </c>
      <c r="AA27" s="16">
        <f t="shared" si="11"/>
        <v>50</v>
      </c>
      <c r="AB27" s="16" t="str">
        <f t="shared" si="12"/>
        <v>Amber</v>
      </c>
      <c r="AC27" s="1"/>
    </row>
    <row r="28" spans="1:29" ht="19.5" customHeight="1" thickBot="1" x14ac:dyDescent="0.35">
      <c r="A28" s="21" t="s">
        <v>8</v>
      </c>
      <c r="B28" s="21"/>
      <c r="C28" s="22">
        <v>5</v>
      </c>
      <c r="D28" s="22">
        <v>0</v>
      </c>
      <c r="E28" s="22">
        <v>0</v>
      </c>
      <c r="F28" s="22">
        <v>0</v>
      </c>
      <c r="G28" s="22">
        <v>0</v>
      </c>
      <c r="H28" s="22">
        <v>7</v>
      </c>
      <c r="I28" s="22">
        <v>5</v>
      </c>
      <c r="J28" s="22">
        <v>2</v>
      </c>
      <c r="K28" s="22">
        <v>22</v>
      </c>
      <c r="L28" s="22">
        <v>4</v>
      </c>
      <c r="M28" s="22">
        <v>14</v>
      </c>
      <c r="N28" s="23">
        <v>4985000</v>
      </c>
      <c r="O28" s="22">
        <v>6</v>
      </c>
      <c r="P28" s="13">
        <f t="shared" si="0"/>
        <v>12</v>
      </c>
      <c r="Q28" s="14">
        <f t="shared" si="1"/>
        <v>2.4</v>
      </c>
      <c r="R28" s="14">
        <f t="shared" si="2"/>
        <v>0.8</v>
      </c>
      <c r="S28" s="14">
        <f t="shared" si="3"/>
        <v>2.8</v>
      </c>
      <c r="T28" s="15">
        <f t="shared" si="4"/>
        <v>15</v>
      </c>
      <c r="U28" s="15">
        <f t="shared" si="5"/>
        <v>10</v>
      </c>
      <c r="V28" s="15">
        <f t="shared" si="6"/>
        <v>20</v>
      </c>
      <c r="W28" s="15">
        <f t="shared" si="7"/>
        <v>0</v>
      </c>
      <c r="X28" s="15">
        <f t="shared" si="8"/>
        <v>20</v>
      </c>
      <c r="Y28" s="15">
        <f t="shared" si="9"/>
        <v>10</v>
      </c>
      <c r="Z28" s="15">
        <f t="shared" si="10"/>
        <v>0</v>
      </c>
      <c r="AA28" s="16">
        <f t="shared" si="11"/>
        <v>75</v>
      </c>
      <c r="AB28" s="16" t="str">
        <f t="shared" si="12"/>
        <v>Green</v>
      </c>
      <c r="AC28" s="1"/>
    </row>
    <row r="29" spans="1:29" ht="19.5" customHeight="1" thickBot="1" x14ac:dyDescent="0.35">
      <c r="A29" s="21" t="s">
        <v>0</v>
      </c>
      <c r="B29" s="21"/>
      <c r="C29" s="22">
        <v>4</v>
      </c>
      <c r="D29" s="22">
        <v>0</v>
      </c>
      <c r="E29" s="22">
        <v>0</v>
      </c>
      <c r="F29" s="22">
        <v>1</v>
      </c>
      <c r="G29" s="22">
        <v>0</v>
      </c>
      <c r="H29" s="22">
        <v>5</v>
      </c>
      <c r="I29" s="22">
        <v>1</v>
      </c>
      <c r="J29" s="22">
        <v>1</v>
      </c>
      <c r="K29" s="22">
        <v>5</v>
      </c>
      <c r="L29" s="22">
        <v>0</v>
      </c>
      <c r="M29" s="22">
        <v>15</v>
      </c>
      <c r="N29" s="23">
        <v>3300000</v>
      </c>
      <c r="O29" s="22">
        <v>27</v>
      </c>
      <c r="P29" s="13">
        <f t="shared" si="0"/>
        <v>6</v>
      </c>
      <c r="Q29" s="14">
        <f t="shared" si="1"/>
        <v>1.2</v>
      </c>
      <c r="R29" s="14">
        <f t="shared" si="2"/>
        <v>0</v>
      </c>
      <c r="S29" s="14">
        <f t="shared" si="3"/>
        <v>3</v>
      </c>
      <c r="T29" s="15">
        <f t="shared" si="4"/>
        <v>15</v>
      </c>
      <c r="U29" s="15">
        <f t="shared" si="5"/>
        <v>10</v>
      </c>
      <c r="V29" s="15">
        <f t="shared" si="6"/>
        <v>20</v>
      </c>
      <c r="W29" s="15">
        <f t="shared" si="7"/>
        <v>0</v>
      </c>
      <c r="X29" s="15">
        <f t="shared" si="8"/>
        <v>0</v>
      </c>
      <c r="Y29" s="15">
        <f t="shared" si="9"/>
        <v>10</v>
      </c>
      <c r="Z29" s="15">
        <f t="shared" si="10"/>
        <v>10</v>
      </c>
      <c r="AA29" s="16">
        <f t="shared" si="11"/>
        <v>65</v>
      </c>
      <c r="AB29" s="16" t="str">
        <f t="shared" si="12"/>
        <v>Amber</v>
      </c>
      <c r="AC29" s="1"/>
    </row>
    <row r="30" spans="1:29" ht="19.5" customHeight="1" thickBot="1" x14ac:dyDescent="0.35">
      <c r="A30" s="21" t="s">
        <v>6</v>
      </c>
      <c r="B30" s="21"/>
      <c r="C30" s="22">
        <v>5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9</v>
      </c>
      <c r="J30" s="22">
        <v>2</v>
      </c>
      <c r="K30" s="22">
        <v>17</v>
      </c>
      <c r="L30" s="22">
        <v>0</v>
      </c>
      <c r="M30" s="22">
        <v>16</v>
      </c>
      <c r="N30" s="23">
        <v>96210000</v>
      </c>
      <c r="O30" s="22">
        <v>3</v>
      </c>
      <c r="P30" s="13">
        <f t="shared" si="0"/>
        <v>9</v>
      </c>
      <c r="Q30" s="14">
        <f t="shared" si="1"/>
        <v>1.8</v>
      </c>
      <c r="R30" s="14">
        <f t="shared" si="2"/>
        <v>0</v>
      </c>
      <c r="S30" s="14">
        <f t="shared" si="3"/>
        <v>3.2</v>
      </c>
      <c r="T30" s="15">
        <f t="shared" si="4"/>
        <v>15</v>
      </c>
      <c r="U30" s="15">
        <f t="shared" si="5"/>
        <v>10</v>
      </c>
      <c r="V30" s="15">
        <f t="shared" si="6"/>
        <v>20</v>
      </c>
      <c r="W30" s="15">
        <f t="shared" si="7"/>
        <v>10</v>
      </c>
      <c r="X30" s="15">
        <f t="shared" si="8"/>
        <v>0</v>
      </c>
      <c r="Y30" s="15">
        <f t="shared" si="9"/>
        <v>10</v>
      </c>
      <c r="Z30" s="15">
        <f t="shared" si="10"/>
        <v>0</v>
      </c>
      <c r="AA30" s="16">
        <f t="shared" si="11"/>
        <v>65</v>
      </c>
      <c r="AB30" s="16" t="str">
        <f t="shared" si="12"/>
        <v>Amber</v>
      </c>
      <c r="AC30" s="2"/>
    </row>
    <row r="31" spans="1:29" ht="19.5" customHeight="1" thickBot="1" x14ac:dyDescent="0.35">
      <c r="A31" s="21" t="s">
        <v>1</v>
      </c>
      <c r="B31" s="21"/>
      <c r="C31" s="22">
        <v>5</v>
      </c>
      <c r="D31" s="22">
        <v>0</v>
      </c>
      <c r="E31" s="22">
        <v>0</v>
      </c>
      <c r="F31" s="22">
        <v>0</v>
      </c>
      <c r="G31" s="22">
        <v>0</v>
      </c>
      <c r="H31" s="22">
        <v>1</v>
      </c>
      <c r="I31" s="22">
        <v>8</v>
      </c>
      <c r="J31" s="22">
        <v>2</v>
      </c>
      <c r="K31" s="22">
        <v>8</v>
      </c>
      <c r="L31" s="22">
        <v>0</v>
      </c>
      <c r="M31" s="22">
        <v>13</v>
      </c>
      <c r="N31" s="23">
        <v>2220000</v>
      </c>
      <c r="O31" s="22">
        <v>16</v>
      </c>
      <c r="P31" s="13">
        <f t="shared" si="0"/>
        <v>9</v>
      </c>
      <c r="Q31" s="14">
        <f t="shared" si="1"/>
        <v>1.8</v>
      </c>
      <c r="R31" s="14">
        <f t="shared" si="2"/>
        <v>0</v>
      </c>
      <c r="S31" s="14">
        <f t="shared" si="3"/>
        <v>2.6</v>
      </c>
      <c r="T31" s="15">
        <f t="shared" si="4"/>
        <v>15</v>
      </c>
      <c r="U31" s="15">
        <f t="shared" si="5"/>
        <v>10</v>
      </c>
      <c r="V31" s="15">
        <f t="shared" si="6"/>
        <v>20</v>
      </c>
      <c r="W31" s="15">
        <f t="shared" si="7"/>
        <v>0</v>
      </c>
      <c r="X31" s="15">
        <f t="shared" si="8"/>
        <v>0</v>
      </c>
      <c r="Y31" s="15">
        <f t="shared" si="9"/>
        <v>10</v>
      </c>
      <c r="Z31" s="15">
        <f t="shared" si="10"/>
        <v>5</v>
      </c>
      <c r="AA31" s="16">
        <f t="shared" si="11"/>
        <v>60</v>
      </c>
      <c r="AB31" s="16" t="str">
        <f t="shared" si="12"/>
        <v>Amber</v>
      </c>
      <c r="AC31" s="1"/>
    </row>
    <row r="32" spans="1:29" ht="19.5" customHeight="1" thickBot="1" x14ac:dyDescent="0.35">
      <c r="A32" s="21" t="s">
        <v>2</v>
      </c>
      <c r="B32" s="21"/>
      <c r="C32" s="22">
        <v>4</v>
      </c>
      <c r="D32" s="22">
        <v>0</v>
      </c>
      <c r="E32" s="22">
        <v>0</v>
      </c>
      <c r="F32" s="22">
        <v>0</v>
      </c>
      <c r="G32" s="22">
        <v>1</v>
      </c>
      <c r="H32" s="22">
        <v>3</v>
      </c>
      <c r="I32" s="22">
        <v>9</v>
      </c>
      <c r="J32" s="22">
        <v>4</v>
      </c>
      <c r="K32" s="22">
        <v>9</v>
      </c>
      <c r="L32" s="22">
        <v>0</v>
      </c>
      <c r="M32" s="22">
        <v>13</v>
      </c>
      <c r="N32" s="23">
        <v>4375440</v>
      </c>
      <c r="O32" s="22">
        <v>1</v>
      </c>
      <c r="P32" s="13">
        <f t="shared" si="0"/>
        <v>12</v>
      </c>
      <c r="Q32" s="14">
        <f t="shared" si="1"/>
        <v>2.4</v>
      </c>
      <c r="R32" s="14">
        <f t="shared" si="2"/>
        <v>0</v>
      </c>
      <c r="S32" s="14">
        <f t="shared" si="3"/>
        <v>2.6</v>
      </c>
      <c r="T32" s="15">
        <f t="shared" si="4"/>
        <v>15</v>
      </c>
      <c r="U32" s="15">
        <f t="shared" si="5"/>
        <v>10</v>
      </c>
      <c r="V32" s="15">
        <f t="shared" si="6"/>
        <v>20</v>
      </c>
      <c r="W32" s="15">
        <f t="shared" si="7"/>
        <v>0</v>
      </c>
      <c r="X32" s="15">
        <f t="shared" si="8"/>
        <v>0</v>
      </c>
      <c r="Y32" s="15">
        <f t="shared" si="9"/>
        <v>10</v>
      </c>
      <c r="Z32" s="15">
        <f t="shared" si="10"/>
        <v>0</v>
      </c>
      <c r="AA32" s="16">
        <f t="shared" si="11"/>
        <v>55</v>
      </c>
      <c r="AB32" s="16" t="str">
        <f t="shared" si="12"/>
        <v>Amber</v>
      </c>
      <c r="AC32" s="2"/>
    </row>
    <row r="33" spans="1:29" ht="19.5" customHeight="1" thickBot="1" x14ac:dyDescent="0.35">
      <c r="A33" s="21" t="s">
        <v>3</v>
      </c>
      <c r="B33" s="21"/>
      <c r="C33" s="22">
        <v>5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2</v>
      </c>
      <c r="J33" s="22">
        <v>0</v>
      </c>
      <c r="K33" s="22">
        <v>1</v>
      </c>
      <c r="L33" s="22">
        <v>0</v>
      </c>
      <c r="M33" s="22">
        <v>3</v>
      </c>
      <c r="N33" s="23">
        <v>0</v>
      </c>
      <c r="O33" s="22">
        <v>0</v>
      </c>
      <c r="P33" s="13">
        <f t="shared" si="0"/>
        <v>2</v>
      </c>
      <c r="Q33" s="14">
        <f t="shared" si="1"/>
        <v>0.4</v>
      </c>
      <c r="R33" s="14">
        <f t="shared" si="2"/>
        <v>0</v>
      </c>
      <c r="S33" s="14">
        <f t="shared" si="3"/>
        <v>0.6</v>
      </c>
      <c r="T33" s="15">
        <f t="shared" si="4"/>
        <v>15</v>
      </c>
      <c r="U33" s="15">
        <f t="shared" si="5"/>
        <v>10</v>
      </c>
      <c r="V33" s="15">
        <f t="shared" si="6"/>
        <v>0</v>
      </c>
      <c r="W33" s="15">
        <f t="shared" si="7"/>
        <v>0</v>
      </c>
      <c r="X33" s="15">
        <f t="shared" si="8"/>
        <v>0</v>
      </c>
      <c r="Y33" s="15">
        <f t="shared" si="9"/>
        <v>0</v>
      </c>
      <c r="Z33" s="15">
        <f t="shared" si="10"/>
        <v>0</v>
      </c>
      <c r="AA33" s="16">
        <f t="shared" si="11"/>
        <v>25</v>
      </c>
      <c r="AB33" s="16" t="str">
        <f t="shared" si="12"/>
        <v>Grey</v>
      </c>
      <c r="AC33" s="1"/>
    </row>
    <row r="34" spans="1:29" ht="19.5" customHeight="1" thickBot="1" x14ac:dyDescent="0.35">
      <c r="A34" s="21" t="s">
        <v>4</v>
      </c>
      <c r="B34" s="21"/>
      <c r="C34" s="22">
        <v>5</v>
      </c>
      <c r="D34" s="22">
        <v>0</v>
      </c>
      <c r="E34" s="22">
        <v>0</v>
      </c>
      <c r="F34" s="22">
        <v>0</v>
      </c>
      <c r="G34" s="22">
        <v>0</v>
      </c>
      <c r="H34" s="22">
        <v>2</v>
      </c>
      <c r="I34" s="22">
        <v>3</v>
      </c>
      <c r="J34" s="22">
        <v>0</v>
      </c>
      <c r="K34" s="22">
        <v>1</v>
      </c>
      <c r="L34" s="22">
        <v>0</v>
      </c>
      <c r="M34" s="22">
        <v>9</v>
      </c>
      <c r="N34" s="23">
        <v>1897000</v>
      </c>
      <c r="O34" s="22">
        <v>4</v>
      </c>
      <c r="P34" s="13">
        <f t="shared" si="0"/>
        <v>5</v>
      </c>
      <c r="Q34" s="14">
        <f t="shared" si="1"/>
        <v>1</v>
      </c>
      <c r="R34" s="14">
        <f t="shared" si="2"/>
        <v>0</v>
      </c>
      <c r="S34" s="14">
        <f t="shared" si="3"/>
        <v>1.8</v>
      </c>
      <c r="T34" s="15">
        <f t="shared" si="4"/>
        <v>15</v>
      </c>
      <c r="U34" s="15">
        <f t="shared" si="5"/>
        <v>10</v>
      </c>
      <c r="V34" s="15">
        <f t="shared" si="6"/>
        <v>15</v>
      </c>
      <c r="W34" s="15">
        <f t="shared" si="7"/>
        <v>0</v>
      </c>
      <c r="X34" s="15">
        <f t="shared" si="8"/>
        <v>0</v>
      </c>
      <c r="Y34" s="15">
        <f t="shared" si="9"/>
        <v>5</v>
      </c>
      <c r="Z34" s="15">
        <f t="shared" si="10"/>
        <v>0</v>
      </c>
      <c r="AA34" s="16">
        <f t="shared" si="11"/>
        <v>45</v>
      </c>
      <c r="AB34" s="16" t="str">
        <f t="shared" si="12"/>
        <v>Red</v>
      </c>
      <c r="AC34" s="1"/>
    </row>
    <row r="35" spans="1:29" ht="19.5" customHeight="1" thickBot="1" x14ac:dyDescent="0.35">
      <c r="A35" s="21" t="s">
        <v>5</v>
      </c>
      <c r="B35" s="21"/>
      <c r="C35" s="22">
        <v>4</v>
      </c>
      <c r="D35" s="22">
        <v>0</v>
      </c>
      <c r="E35" s="22">
        <v>0</v>
      </c>
      <c r="F35" s="22">
        <v>0</v>
      </c>
      <c r="G35" s="22">
        <v>1</v>
      </c>
      <c r="H35" s="22">
        <v>5</v>
      </c>
      <c r="I35" s="22">
        <v>7</v>
      </c>
      <c r="J35" s="22">
        <v>7</v>
      </c>
      <c r="K35" s="22">
        <v>5</v>
      </c>
      <c r="L35" s="22">
        <v>1</v>
      </c>
      <c r="M35" s="22">
        <v>19</v>
      </c>
      <c r="N35" s="23">
        <v>16757500</v>
      </c>
      <c r="O35" s="22">
        <v>7</v>
      </c>
      <c r="P35" s="13">
        <f t="shared" si="0"/>
        <v>12</v>
      </c>
      <c r="Q35" s="14">
        <f t="shared" si="1"/>
        <v>2.4</v>
      </c>
      <c r="R35" s="14">
        <f t="shared" si="2"/>
        <v>0.2</v>
      </c>
      <c r="S35" s="14">
        <f t="shared" si="3"/>
        <v>3.8</v>
      </c>
      <c r="T35" s="15">
        <f t="shared" si="4"/>
        <v>15</v>
      </c>
      <c r="U35" s="15">
        <f t="shared" si="5"/>
        <v>10</v>
      </c>
      <c r="V35" s="15">
        <f t="shared" si="6"/>
        <v>20</v>
      </c>
      <c r="W35" s="15">
        <f t="shared" si="7"/>
        <v>0</v>
      </c>
      <c r="X35" s="15">
        <f t="shared" si="8"/>
        <v>10</v>
      </c>
      <c r="Y35" s="15">
        <f t="shared" si="9"/>
        <v>10</v>
      </c>
      <c r="Z35" s="15">
        <f t="shared" si="10"/>
        <v>0</v>
      </c>
      <c r="AA35" s="16">
        <f t="shared" si="11"/>
        <v>65</v>
      </c>
      <c r="AB35" s="16" t="str">
        <f t="shared" si="12"/>
        <v>Amber</v>
      </c>
      <c r="AC35" s="2"/>
    </row>
    <row r="36" spans="1:29" ht="17.25" thickBot="1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8"/>
      <c r="O36" s="2"/>
      <c r="P36" s="13">
        <f t="shared" ref="P36" si="13">H36+I36</f>
        <v>0</v>
      </c>
      <c r="Q36" s="14" t="e">
        <f t="shared" ref="Q36" si="14">P36/(C36+D36+E36+F36+G36)</f>
        <v>#DIV/0!</v>
      </c>
      <c r="R36" s="14" t="e">
        <f t="shared" ref="R36" si="15">L36/(C36+D36+E36+F36+G36)</f>
        <v>#DIV/0!</v>
      </c>
      <c r="S36" s="14" t="e">
        <f t="shared" ref="S36" si="16">M36/(C36+D36+E36+F36+G36)</f>
        <v>#DIV/0!</v>
      </c>
      <c r="T36" s="15">
        <f t="shared" ref="T36" si="17">IF(D36&gt;2,0,IF(D36=2,5,IF(D36=1,10,IF(D36&lt;1,15))))</f>
        <v>15</v>
      </c>
      <c r="U36" s="15">
        <f t="shared" ref="U36" si="18">IF(E36&gt;=2,0,IF(E36=1,5,IF(E36=0,10)))</f>
        <v>10</v>
      </c>
      <c r="V36" s="15" t="e">
        <f t="shared" ref="V36" si="19">IF(Q36&lt;0.5,0,IF(Q36&lt;0.75,5,IF(Q36&lt;1,10,IF(Q36&lt;1.2,15,IF(Q36&gt;=1.2,20)))))</f>
        <v>#DIV/0!</v>
      </c>
      <c r="W36" s="15">
        <f t="shared" ref="W36" si="20">IF(N36&lt;25000000,0,IF(N36&lt;50000000,5,IF(N36&lt;100000000,10,IF(N36&gt;=100000000,15))))</f>
        <v>0</v>
      </c>
      <c r="X36" s="15" t="e">
        <f t="shared" ref="X36" si="21">IF(R36&lt;0.1,0,IF(R36&lt;0.2,5,IF(R36&lt;0.4,10,IF(R36&lt;0.6,15,IF(R36&gt;=0.6,20)))))</f>
        <v>#DIV/0!</v>
      </c>
      <c r="Y36" s="15" t="e">
        <f t="shared" ref="Y36" si="22">IF(S36&lt;1,0,IF(S36&lt;2,5,IF(S36&gt;=2,10)))</f>
        <v>#DIV/0!</v>
      </c>
      <c r="Z36" s="15">
        <f t="shared" ref="Z36" si="23">IF(O36&lt;10,0,IF(O36&lt;20,5,IF(O36&gt;=20,10)))</f>
        <v>0</v>
      </c>
      <c r="AA36" s="16" t="e">
        <f t="shared" ref="AA36" si="24">SUM(T36:Z36)</f>
        <v>#DIV/0!</v>
      </c>
      <c r="AB36" s="16" t="e">
        <f t="shared" ref="AB36" si="25">IF(AA36&lt;30,"Grey",IF(AA36&lt;50,"Red",IF(AA36&lt;70,"Amber",IF(AA36&gt;=70,"Green"))))</f>
        <v>#DIV/0!</v>
      </c>
      <c r="AC36" s="2"/>
    </row>
    <row r="46" spans="1:29" x14ac:dyDescent="0.3">
      <c r="S46">
        <v>33</v>
      </c>
      <c r="T46">
        <v>15</v>
      </c>
      <c r="U46">
        <v>12</v>
      </c>
      <c r="V46">
        <v>3</v>
      </c>
      <c r="W46">
        <v>3</v>
      </c>
    </row>
    <row r="47" spans="1:29" x14ac:dyDescent="0.3">
      <c r="T47" s="19">
        <f>T46/S46</f>
        <v>0.45454545454545453</v>
      </c>
      <c r="U47" s="19">
        <f>(T46+U46)/S46</f>
        <v>0.81818181818181823</v>
      </c>
      <c r="V47" s="19">
        <f>V46/S46</f>
        <v>9.0909090909090912E-2</v>
      </c>
      <c r="W47" s="19">
        <f>W46/S46</f>
        <v>9.0909090909090912E-2</v>
      </c>
    </row>
  </sheetData>
  <autoFilter ref="A2:AB2" xr:uid="{5B38A083-2EB7-4618-89AF-34CC37CFB143}">
    <sortState xmlns:xlrd2="http://schemas.microsoft.com/office/spreadsheetml/2017/richdata2" ref="A3:AB35">
      <sortCondition ref="A2"/>
    </sortState>
  </autoFilter>
  <phoneticPr fontId="5" type="noConversion"/>
  <conditionalFormatting sqref="AA3:AA36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8075-3BAE-4C37-B078-BF34ADCB46BE}">
  <dimension ref="A1:AC36"/>
  <sheetViews>
    <sheetView workbookViewId="0">
      <selection activeCell="M2" sqref="M2"/>
    </sheetView>
  </sheetViews>
  <sheetFormatPr defaultRowHeight="16.5" x14ac:dyDescent="0.3"/>
  <cols>
    <col min="1" max="1" width="11.125" bestFit="1" customWidth="1"/>
    <col min="3" max="13" width="3.875" customWidth="1"/>
    <col min="14" max="14" width="10" bestFit="1" customWidth="1"/>
    <col min="15" max="15" width="5.125" customWidth="1"/>
    <col min="16" max="16" width="4.5" customWidth="1"/>
    <col min="17" max="17" width="5.875" customWidth="1"/>
    <col min="18" max="26" width="4.5" customWidth="1"/>
  </cols>
  <sheetData>
    <row r="1" spans="1:29" x14ac:dyDescent="0.3">
      <c r="A1" s="17" t="s">
        <v>61</v>
      </c>
    </row>
    <row r="2" spans="1:29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9" ht="33" customHeight="1" thickBot="1" x14ac:dyDescent="0.35">
      <c r="A3" t="s">
        <v>17</v>
      </c>
      <c r="C3" s="2">
        <v>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4</v>
      </c>
      <c r="J3" s="2">
        <v>1</v>
      </c>
      <c r="K3" s="2">
        <v>5</v>
      </c>
      <c r="L3" s="2">
        <v>1</v>
      </c>
      <c r="M3" s="2">
        <v>11</v>
      </c>
      <c r="N3" s="2">
        <v>6950000</v>
      </c>
      <c r="O3" s="2">
        <v>6</v>
      </c>
      <c r="P3" s="13">
        <f t="shared" ref="P3:P35" si="0">H3+I3</f>
        <v>4</v>
      </c>
      <c r="Q3" s="14">
        <f t="shared" ref="Q3:Q35" si="1">P3/(C3+D3+E3+F3+G3)</f>
        <v>1</v>
      </c>
      <c r="R3" s="14">
        <f t="shared" ref="R3:R35" si="2">L3/(C3+D3+E3+F3+G3)</f>
        <v>0.25</v>
      </c>
      <c r="S3" s="14">
        <f t="shared" ref="S3:S35" si="3">M3/(C3+D3+E3+F3+G3)</f>
        <v>2.75</v>
      </c>
      <c r="T3" s="15">
        <f t="shared" ref="T3:T35" si="4">IF(D3&gt;2,0,IF(D3=2,5,IF(D3=1,10,IF(D3&lt;1,15))))</f>
        <v>15</v>
      </c>
      <c r="U3" s="15">
        <f t="shared" ref="U3:U35" si="5">IF(E3&gt;=2,0,IF(E3=1,5,IF(E3=0,10)))</f>
        <v>10</v>
      </c>
      <c r="V3" s="15">
        <f t="shared" ref="V3:V35" si="6">IF(Q3&lt;0.5,0,IF(Q3&lt;0.75,5,IF(Q3&lt;1,10,IF(Q3&lt;1.2,15,IF(Q3&gt;=1.2,20)))))</f>
        <v>15</v>
      </c>
      <c r="W3" s="15">
        <f t="shared" ref="W3:W35" si="7">IF(N3&lt;25000000,0,IF(N3&lt;50000000,5,IF(N3&lt;100000000,10,IF(N3&gt;=100000000,15))))</f>
        <v>0</v>
      </c>
      <c r="X3" s="15">
        <f t="shared" ref="X3:X35" si="8">IF(R3&lt;0.1,0,IF(R3&lt;0.2,5,IF(R3&lt;0.4,10,IF(R3&lt;0.6,15,IF(R3&gt;=0.6,20)))))</f>
        <v>10</v>
      </c>
      <c r="Y3" s="15">
        <f t="shared" ref="Y3:Y35" si="9">IF(S3&lt;1,0,IF(S3&lt;2,5,IF(S3&gt;=2,10)))</f>
        <v>10</v>
      </c>
      <c r="Z3" s="15">
        <f t="shared" ref="Z3:Z35" si="10">IF(O3&lt;10,0,IF(O3&lt;20,5,IF(O3&gt;=20,10)))</f>
        <v>0</v>
      </c>
      <c r="AA3" s="16">
        <f t="shared" ref="AA3:AA35" si="11">SUM(T3:Z3)</f>
        <v>60</v>
      </c>
      <c r="AB3" s="16" t="str">
        <f t="shared" ref="AB3:AB35" si="12">IF(AA3&lt;30,"Grey",IF(AA3&lt;50,"Red",IF(AA3&lt;70,"Amber",IF(AA3&gt;=70,"Green"))))</f>
        <v>Amber</v>
      </c>
      <c r="AC3" s="1"/>
    </row>
    <row r="4" spans="1:29" ht="33" customHeight="1" thickBot="1" x14ac:dyDescent="0.35">
      <c r="A4" t="s">
        <v>15</v>
      </c>
      <c r="C4" s="2">
        <v>4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3</v>
      </c>
      <c r="J4" s="2">
        <v>0</v>
      </c>
      <c r="K4" s="2">
        <v>1</v>
      </c>
      <c r="L4" s="2">
        <v>0</v>
      </c>
      <c r="M4" s="2">
        <v>11</v>
      </c>
      <c r="N4" s="2">
        <v>855000</v>
      </c>
      <c r="O4" s="2">
        <v>5</v>
      </c>
      <c r="P4" s="13">
        <f t="shared" si="0"/>
        <v>4</v>
      </c>
      <c r="Q4" s="14">
        <f t="shared" si="1"/>
        <v>1</v>
      </c>
      <c r="R4" s="14">
        <f t="shared" si="2"/>
        <v>0</v>
      </c>
      <c r="S4" s="14">
        <f t="shared" si="3"/>
        <v>2.75</v>
      </c>
      <c r="T4" s="15">
        <f t="shared" si="4"/>
        <v>15</v>
      </c>
      <c r="U4" s="15">
        <f t="shared" si="5"/>
        <v>10</v>
      </c>
      <c r="V4" s="15">
        <f t="shared" si="6"/>
        <v>15</v>
      </c>
      <c r="W4" s="15">
        <f t="shared" si="7"/>
        <v>0</v>
      </c>
      <c r="X4" s="15">
        <f t="shared" si="8"/>
        <v>0</v>
      </c>
      <c r="Y4" s="15">
        <f t="shared" si="9"/>
        <v>10</v>
      </c>
      <c r="Z4" s="15">
        <f t="shared" si="10"/>
        <v>0</v>
      </c>
      <c r="AA4" s="16">
        <f t="shared" si="11"/>
        <v>50</v>
      </c>
      <c r="AB4" s="16" t="str">
        <f t="shared" si="12"/>
        <v>Amber</v>
      </c>
      <c r="AC4" s="3"/>
    </row>
    <row r="5" spans="1:29" ht="17.25" customHeight="1" thickBot="1" x14ac:dyDescent="0.35">
      <c r="A5" t="s">
        <v>9</v>
      </c>
      <c r="C5" s="2">
        <v>4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4</v>
      </c>
      <c r="J5" s="2">
        <v>3</v>
      </c>
      <c r="K5" s="2">
        <v>11</v>
      </c>
      <c r="L5" s="2">
        <v>0</v>
      </c>
      <c r="M5" s="2">
        <v>3</v>
      </c>
      <c r="N5" s="2">
        <v>140000</v>
      </c>
      <c r="O5" s="2">
        <v>0</v>
      </c>
      <c r="P5" s="13">
        <f t="shared" si="0"/>
        <v>5</v>
      </c>
      <c r="Q5" s="14">
        <f t="shared" si="1"/>
        <v>1.25</v>
      </c>
      <c r="R5" s="14">
        <f t="shared" si="2"/>
        <v>0</v>
      </c>
      <c r="S5" s="14">
        <f t="shared" si="3"/>
        <v>0.75</v>
      </c>
      <c r="T5" s="15">
        <f t="shared" si="4"/>
        <v>15</v>
      </c>
      <c r="U5" s="15">
        <f t="shared" si="5"/>
        <v>10</v>
      </c>
      <c r="V5" s="15">
        <f t="shared" si="6"/>
        <v>20</v>
      </c>
      <c r="W5" s="15">
        <f t="shared" si="7"/>
        <v>0</v>
      </c>
      <c r="X5" s="15">
        <f t="shared" si="8"/>
        <v>0</v>
      </c>
      <c r="Y5" s="15">
        <f t="shared" si="9"/>
        <v>0</v>
      </c>
      <c r="Z5" s="15">
        <f t="shared" si="10"/>
        <v>0</v>
      </c>
      <c r="AA5" s="16">
        <f t="shared" si="11"/>
        <v>45</v>
      </c>
      <c r="AB5" s="16" t="str">
        <f t="shared" si="12"/>
        <v>Red</v>
      </c>
      <c r="AC5" s="2"/>
    </row>
    <row r="6" spans="1:29" ht="17.25" customHeight="1" thickBot="1" x14ac:dyDescent="0.35">
      <c r="A6" t="s">
        <v>16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5</v>
      </c>
      <c r="P6" s="13">
        <f t="shared" si="0"/>
        <v>1</v>
      </c>
      <c r="Q6" s="14">
        <f t="shared" si="1"/>
        <v>0.25</v>
      </c>
      <c r="R6" s="14">
        <f t="shared" si="2"/>
        <v>0</v>
      </c>
      <c r="S6" s="14">
        <f t="shared" si="3"/>
        <v>0.25</v>
      </c>
      <c r="T6" s="15">
        <f t="shared" si="4"/>
        <v>15</v>
      </c>
      <c r="U6" s="15">
        <f t="shared" si="5"/>
        <v>10</v>
      </c>
      <c r="V6" s="15">
        <f t="shared" si="6"/>
        <v>0</v>
      </c>
      <c r="W6" s="15">
        <f t="shared" si="7"/>
        <v>0</v>
      </c>
      <c r="X6" s="15">
        <f t="shared" si="8"/>
        <v>0</v>
      </c>
      <c r="Y6" s="15">
        <f t="shared" si="9"/>
        <v>0</v>
      </c>
      <c r="Z6" s="15">
        <f t="shared" si="10"/>
        <v>0</v>
      </c>
      <c r="AA6" s="16">
        <f t="shared" si="11"/>
        <v>25</v>
      </c>
      <c r="AB6" s="16" t="str">
        <f t="shared" si="12"/>
        <v>Grey</v>
      </c>
      <c r="AC6" s="1"/>
    </row>
    <row r="7" spans="1:29" ht="33" customHeight="1" thickBot="1" x14ac:dyDescent="0.35">
      <c r="A7" t="s">
        <v>13</v>
      </c>
      <c r="C7" s="2">
        <v>4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7</v>
      </c>
      <c r="J7" s="2">
        <v>22</v>
      </c>
      <c r="K7" s="2">
        <v>21</v>
      </c>
      <c r="L7" s="2">
        <v>1</v>
      </c>
      <c r="M7" s="2">
        <v>6</v>
      </c>
      <c r="N7" s="2">
        <v>2060000</v>
      </c>
      <c r="O7" s="2">
        <v>3</v>
      </c>
      <c r="P7" s="13">
        <f t="shared" si="0"/>
        <v>8</v>
      </c>
      <c r="Q7" s="14">
        <f t="shared" si="1"/>
        <v>2</v>
      </c>
      <c r="R7" s="14">
        <f t="shared" si="2"/>
        <v>0.25</v>
      </c>
      <c r="S7" s="14">
        <f t="shared" si="3"/>
        <v>1.5</v>
      </c>
      <c r="T7" s="15">
        <f t="shared" si="4"/>
        <v>15</v>
      </c>
      <c r="U7" s="15">
        <f t="shared" si="5"/>
        <v>10</v>
      </c>
      <c r="V7" s="15">
        <f t="shared" si="6"/>
        <v>20</v>
      </c>
      <c r="W7" s="15">
        <f t="shared" si="7"/>
        <v>0</v>
      </c>
      <c r="X7" s="15">
        <f t="shared" si="8"/>
        <v>10</v>
      </c>
      <c r="Y7" s="15">
        <f t="shared" si="9"/>
        <v>5</v>
      </c>
      <c r="Z7" s="15">
        <f t="shared" si="10"/>
        <v>0</v>
      </c>
      <c r="AA7" s="16">
        <f t="shared" si="11"/>
        <v>60</v>
      </c>
      <c r="AB7" s="16" t="str">
        <f t="shared" si="12"/>
        <v>Amber</v>
      </c>
      <c r="AC7" s="2"/>
    </row>
    <row r="8" spans="1:29" ht="33" customHeight="1" thickBot="1" x14ac:dyDescent="0.35">
      <c r="A8" t="s">
        <v>12</v>
      </c>
      <c r="C8" s="1">
        <v>4</v>
      </c>
      <c r="D8" s="1">
        <v>0</v>
      </c>
      <c r="E8" s="1">
        <v>0</v>
      </c>
      <c r="F8" s="1">
        <v>0</v>
      </c>
      <c r="G8" s="1">
        <v>0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260000</v>
      </c>
      <c r="O8" s="1">
        <v>5</v>
      </c>
      <c r="P8" s="13">
        <f t="shared" si="0"/>
        <v>2</v>
      </c>
      <c r="Q8" s="14">
        <f t="shared" si="1"/>
        <v>0.5</v>
      </c>
      <c r="R8" s="14">
        <f t="shared" si="2"/>
        <v>0</v>
      </c>
      <c r="S8" s="14">
        <f t="shared" si="3"/>
        <v>0.25</v>
      </c>
      <c r="T8" s="15">
        <f t="shared" si="4"/>
        <v>15</v>
      </c>
      <c r="U8" s="15">
        <f t="shared" si="5"/>
        <v>10</v>
      </c>
      <c r="V8" s="15">
        <f t="shared" si="6"/>
        <v>5</v>
      </c>
      <c r="W8" s="15">
        <f t="shared" si="7"/>
        <v>0</v>
      </c>
      <c r="X8" s="15">
        <f t="shared" si="8"/>
        <v>0</v>
      </c>
      <c r="Y8" s="15">
        <f t="shared" si="9"/>
        <v>0</v>
      </c>
      <c r="Z8" s="15">
        <f t="shared" si="10"/>
        <v>0</v>
      </c>
      <c r="AA8" s="16">
        <f t="shared" si="11"/>
        <v>30</v>
      </c>
      <c r="AB8" s="16" t="str">
        <f t="shared" si="12"/>
        <v>Red</v>
      </c>
      <c r="AC8" s="2"/>
    </row>
    <row r="9" spans="1:29" ht="17.25" customHeight="1" thickBot="1" x14ac:dyDescent="0.35">
      <c r="A9" t="s">
        <v>11</v>
      </c>
      <c r="C9" s="2">
        <v>4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5</v>
      </c>
      <c r="J9" s="2">
        <v>0</v>
      </c>
      <c r="K9" s="2">
        <v>11</v>
      </c>
      <c r="L9" s="2">
        <v>0</v>
      </c>
      <c r="M9" s="2">
        <v>9</v>
      </c>
      <c r="N9" s="2">
        <v>9896000</v>
      </c>
      <c r="O9" s="2">
        <v>10</v>
      </c>
      <c r="P9" s="13">
        <f t="shared" si="0"/>
        <v>7</v>
      </c>
      <c r="Q9" s="14">
        <f t="shared" si="1"/>
        <v>1.75</v>
      </c>
      <c r="R9" s="14">
        <f t="shared" si="2"/>
        <v>0</v>
      </c>
      <c r="S9" s="14">
        <f t="shared" si="3"/>
        <v>2.25</v>
      </c>
      <c r="T9" s="15">
        <f t="shared" si="4"/>
        <v>15</v>
      </c>
      <c r="U9" s="15">
        <f t="shared" si="5"/>
        <v>10</v>
      </c>
      <c r="V9" s="15">
        <f t="shared" si="6"/>
        <v>20</v>
      </c>
      <c r="W9" s="15">
        <f t="shared" si="7"/>
        <v>0</v>
      </c>
      <c r="X9" s="15">
        <f t="shared" si="8"/>
        <v>0</v>
      </c>
      <c r="Y9" s="15">
        <f t="shared" si="9"/>
        <v>10</v>
      </c>
      <c r="Z9" s="15">
        <f t="shared" si="10"/>
        <v>5</v>
      </c>
      <c r="AA9" s="16">
        <f t="shared" si="11"/>
        <v>60</v>
      </c>
      <c r="AB9" s="16" t="str">
        <f t="shared" si="12"/>
        <v>Amber</v>
      </c>
      <c r="AC9" s="1"/>
    </row>
    <row r="10" spans="1:29" ht="17.25" customHeight="1" thickBot="1" x14ac:dyDescent="0.35">
      <c r="A10" t="s">
        <v>10</v>
      </c>
      <c r="C10" s="1">
        <v>4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12</v>
      </c>
      <c r="J10" s="1">
        <v>0</v>
      </c>
      <c r="K10" s="1">
        <v>2</v>
      </c>
      <c r="L10" s="1">
        <v>0</v>
      </c>
      <c r="M10" s="1">
        <v>3</v>
      </c>
      <c r="N10" s="1">
        <v>4100000</v>
      </c>
      <c r="O10" s="1">
        <v>0</v>
      </c>
      <c r="P10" s="13">
        <f t="shared" si="0"/>
        <v>13</v>
      </c>
      <c r="Q10" s="14">
        <f t="shared" si="1"/>
        <v>3.25</v>
      </c>
      <c r="R10" s="14">
        <f t="shared" si="2"/>
        <v>0</v>
      </c>
      <c r="S10" s="14">
        <f t="shared" si="3"/>
        <v>0.75</v>
      </c>
      <c r="T10" s="15">
        <f t="shared" si="4"/>
        <v>15</v>
      </c>
      <c r="U10" s="15">
        <f t="shared" si="5"/>
        <v>10</v>
      </c>
      <c r="V10" s="15">
        <f t="shared" si="6"/>
        <v>20</v>
      </c>
      <c r="W10" s="15">
        <f t="shared" si="7"/>
        <v>0</v>
      </c>
      <c r="X10" s="15">
        <f t="shared" si="8"/>
        <v>0</v>
      </c>
      <c r="Y10" s="15">
        <f t="shared" si="9"/>
        <v>0</v>
      </c>
      <c r="Z10" s="15">
        <f t="shared" si="10"/>
        <v>0</v>
      </c>
      <c r="AA10" s="16">
        <f t="shared" si="11"/>
        <v>45</v>
      </c>
      <c r="AB10" s="16" t="str">
        <f t="shared" si="12"/>
        <v>Red</v>
      </c>
      <c r="AC10" s="1"/>
    </row>
    <row r="11" spans="1:29" ht="33" customHeight="1" thickBot="1" x14ac:dyDescent="0.35">
      <c r="A11" t="s">
        <v>14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5</v>
      </c>
      <c r="I11" s="1">
        <v>8</v>
      </c>
      <c r="J11" s="1">
        <v>3</v>
      </c>
      <c r="K11" s="1">
        <v>3</v>
      </c>
      <c r="L11" s="1">
        <v>1</v>
      </c>
      <c r="M11" s="1">
        <v>3</v>
      </c>
      <c r="N11" s="1">
        <v>248100</v>
      </c>
      <c r="O11" s="1">
        <v>0</v>
      </c>
      <c r="P11" s="13">
        <f t="shared" si="0"/>
        <v>13</v>
      </c>
      <c r="Q11" s="14">
        <f t="shared" si="1"/>
        <v>3.25</v>
      </c>
      <c r="R11" s="14">
        <f t="shared" si="2"/>
        <v>0.25</v>
      </c>
      <c r="S11" s="14">
        <f t="shared" si="3"/>
        <v>0.75</v>
      </c>
      <c r="T11" s="15">
        <f t="shared" si="4"/>
        <v>15</v>
      </c>
      <c r="U11" s="15">
        <f t="shared" si="5"/>
        <v>10</v>
      </c>
      <c r="V11" s="15">
        <f t="shared" si="6"/>
        <v>20</v>
      </c>
      <c r="W11" s="15">
        <f t="shared" si="7"/>
        <v>0</v>
      </c>
      <c r="X11" s="15">
        <f t="shared" si="8"/>
        <v>10</v>
      </c>
      <c r="Y11" s="15">
        <f t="shared" si="9"/>
        <v>0</v>
      </c>
      <c r="Z11" s="15">
        <f t="shared" si="10"/>
        <v>0</v>
      </c>
      <c r="AA11" s="16">
        <f t="shared" si="11"/>
        <v>55</v>
      </c>
      <c r="AB11" s="16" t="str">
        <f t="shared" si="12"/>
        <v>Amber</v>
      </c>
      <c r="AC11" s="2"/>
    </row>
    <row r="12" spans="1:29" ht="33" customHeight="1" thickBot="1" x14ac:dyDescent="0.35">
      <c r="A12" t="s">
        <v>25</v>
      </c>
      <c r="C12" s="2">
        <v>4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1</v>
      </c>
      <c r="L12" s="2">
        <v>1</v>
      </c>
      <c r="M12" s="2">
        <v>2</v>
      </c>
      <c r="N12" s="2">
        <v>100000</v>
      </c>
      <c r="O12" s="2">
        <v>5</v>
      </c>
      <c r="P12" s="13">
        <f t="shared" si="0"/>
        <v>1</v>
      </c>
      <c r="Q12" s="14">
        <f t="shared" si="1"/>
        <v>0.25</v>
      </c>
      <c r="R12" s="14">
        <f t="shared" si="2"/>
        <v>0.25</v>
      </c>
      <c r="S12" s="14">
        <f t="shared" si="3"/>
        <v>0.5</v>
      </c>
      <c r="T12" s="15">
        <f t="shared" si="4"/>
        <v>15</v>
      </c>
      <c r="U12" s="15">
        <f t="shared" si="5"/>
        <v>10</v>
      </c>
      <c r="V12" s="15">
        <f t="shared" si="6"/>
        <v>0</v>
      </c>
      <c r="W12" s="15">
        <f t="shared" si="7"/>
        <v>0</v>
      </c>
      <c r="X12" s="15">
        <f t="shared" si="8"/>
        <v>10</v>
      </c>
      <c r="Y12" s="15">
        <f t="shared" si="9"/>
        <v>0</v>
      </c>
      <c r="Z12" s="15">
        <f t="shared" si="10"/>
        <v>0</v>
      </c>
      <c r="AA12" s="16">
        <f t="shared" si="11"/>
        <v>35</v>
      </c>
      <c r="AB12" s="16" t="str">
        <f t="shared" si="12"/>
        <v>Red</v>
      </c>
      <c r="AC12" s="2"/>
    </row>
    <row r="13" spans="1:29" ht="33" customHeight="1" thickBot="1" x14ac:dyDescent="0.35">
      <c r="A13" t="s">
        <v>28</v>
      </c>
      <c r="C13" s="1">
        <v>4</v>
      </c>
      <c r="D13" s="1">
        <v>0</v>
      </c>
      <c r="E13" s="1">
        <v>0</v>
      </c>
      <c r="F13" s="1">
        <v>0</v>
      </c>
      <c r="G13" s="1">
        <v>0</v>
      </c>
      <c r="H13" s="1">
        <v>3</v>
      </c>
      <c r="I13" s="1">
        <v>3</v>
      </c>
      <c r="J13" s="1">
        <v>0</v>
      </c>
      <c r="K13" s="1">
        <v>2</v>
      </c>
      <c r="L13" s="1">
        <v>0</v>
      </c>
      <c r="M13" s="1">
        <v>7</v>
      </c>
      <c r="N13" s="1">
        <v>415000</v>
      </c>
      <c r="O13" s="1">
        <v>2</v>
      </c>
      <c r="P13" s="13">
        <f t="shared" si="0"/>
        <v>6</v>
      </c>
      <c r="Q13" s="14">
        <f t="shared" si="1"/>
        <v>1.5</v>
      </c>
      <c r="R13" s="14">
        <f t="shared" si="2"/>
        <v>0</v>
      </c>
      <c r="S13" s="14">
        <f t="shared" si="3"/>
        <v>1.75</v>
      </c>
      <c r="T13" s="15">
        <f t="shared" si="4"/>
        <v>15</v>
      </c>
      <c r="U13" s="15">
        <f t="shared" si="5"/>
        <v>10</v>
      </c>
      <c r="V13" s="15">
        <f t="shared" si="6"/>
        <v>20</v>
      </c>
      <c r="W13" s="15">
        <f t="shared" si="7"/>
        <v>0</v>
      </c>
      <c r="X13" s="15">
        <f t="shared" si="8"/>
        <v>0</v>
      </c>
      <c r="Y13" s="15">
        <f t="shared" si="9"/>
        <v>5</v>
      </c>
      <c r="Z13" s="15">
        <f t="shared" si="10"/>
        <v>0</v>
      </c>
      <c r="AA13" s="16">
        <f t="shared" si="11"/>
        <v>50</v>
      </c>
      <c r="AB13" s="16" t="str">
        <f t="shared" si="12"/>
        <v>Amber</v>
      </c>
      <c r="AC13" s="2"/>
    </row>
    <row r="14" spans="1:29" ht="17.25" customHeight="1" thickBot="1" x14ac:dyDescent="0.35">
      <c r="A14" t="s">
        <v>27</v>
      </c>
      <c r="C14" s="2">
        <v>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2</v>
      </c>
      <c r="K14" s="2">
        <v>5</v>
      </c>
      <c r="L14" s="2">
        <v>2</v>
      </c>
      <c r="M14" s="2">
        <v>6</v>
      </c>
      <c r="N14" s="2">
        <v>0</v>
      </c>
      <c r="O14" s="2">
        <v>3</v>
      </c>
      <c r="P14" s="13">
        <f t="shared" si="0"/>
        <v>0</v>
      </c>
      <c r="Q14" s="14">
        <f t="shared" si="1"/>
        <v>0</v>
      </c>
      <c r="R14" s="14">
        <f t="shared" si="2"/>
        <v>0.5</v>
      </c>
      <c r="S14" s="14">
        <f t="shared" si="3"/>
        <v>1.5</v>
      </c>
      <c r="T14" s="15">
        <f t="shared" si="4"/>
        <v>15</v>
      </c>
      <c r="U14" s="15">
        <f t="shared" si="5"/>
        <v>10</v>
      </c>
      <c r="V14" s="15">
        <f t="shared" si="6"/>
        <v>0</v>
      </c>
      <c r="W14" s="15">
        <f t="shared" si="7"/>
        <v>0</v>
      </c>
      <c r="X14" s="15">
        <f t="shared" si="8"/>
        <v>15</v>
      </c>
      <c r="Y14" s="15">
        <f t="shared" si="9"/>
        <v>5</v>
      </c>
      <c r="Z14" s="15">
        <f t="shared" si="10"/>
        <v>0</v>
      </c>
      <c r="AA14" s="16">
        <f t="shared" si="11"/>
        <v>45</v>
      </c>
      <c r="AB14" s="16" t="str">
        <f t="shared" si="12"/>
        <v>Red</v>
      </c>
      <c r="AC14" s="2"/>
    </row>
    <row r="15" spans="1:29" ht="17.25" customHeight="1" thickBot="1" x14ac:dyDescent="0.35">
      <c r="A15" t="s">
        <v>26</v>
      </c>
      <c r="C15" s="1">
        <v>4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20</v>
      </c>
      <c r="J15" s="1">
        <v>0</v>
      </c>
      <c r="K15" s="1">
        <v>1</v>
      </c>
      <c r="L15" s="1">
        <v>0</v>
      </c>
      <c r="M15" s="1">
        <v>11</v>
      </c>
      <c r="N15" s="1">
        <v>0</v>
      </c>
      <c r="O15" s="1">
        <v>6</v>
      </c>
      <c r="P15" s="13">
        <f t="shared" si="0"/>
        <v>21</v>
      </c>
      <c r="Q15" s="14">
        <f t="shared" si="1"/>
        <v>5.25</v>
      </c>
      <c r="R15" s="14">
        <f t="shared" si="2"/>
        <v>0</v>
      </c>
      <c r="S15" s="14">
        <f t="shared" si="3"/>
        <v>2.75</v>
      </c>
      <c r="T15" s="15">
        <f t="shared" si="4"/>
        <v>15</v>
      </c>
      <c r="U15" s="15">
        <f t="shared" si="5"/>
        <v>10</v>
      </c>
      <c r="V15" s="15">
        <f t="shared" si="6"/>
        <v>20</v>
      </c>
      <c r="W15" s="15">
        <f t="shared" si="7"/>
        <v>0</v>
      </c>
      <c r="X15" s="15">
        <f t="shared" si="8"/>
        <v>0</v>
      </c>
      <c r="Y15" s="15">
        <f t="shared" si="9"/>
        <v>10</v>
      </c>
      <c r="Z15" s="15">
        <f t="shared" si="10"/>
        <v>0</v>
      </c>
      <c r="AA15" s="16">
        <f t="shared" si="11"/>
        <v>55</v>
      </c>
      <c r="AB15" s="16" t="str">
        <f t="shared" si="12"/>
        <v>Amber</v>
      </c>
      <c r="AC15" s="2"/>
    </row>
    <row r="16" spans="1:29" ht="17.25" customHeight="1" thickBot="1" x14ac:dyDescent="0.35">
      <c r="A16" t="s">
        <v>31</v>
      </c>
      <c r="C16" s="3">
        <v>4</v>
      </c>
      <c r="D16" s="3">
        <v>0</v>
      </c>
      <c r="E16" s="3">
        <v>0</v>
      </c>
      <c r="F16" s="3">
        <v>0</v>
      </c>
      <c r="G16" s="3">
        <v>0</v>
      </c>
      <c r="H16" s="3">
        <v>4</v>
      </c>
      <c r="I16" s="3">
        <v>9</v>
      </c>
      <c r="J16" s="3">
        <v>1</v>
      </c>
      <c r="K16" s="3">
        <v>0</v>
      </c>
      <c r="L16" s="3">
        <v>1</v>
      </c>
      <c r="M16" s="3">
        <v>7</v>
      </c>
      <c r="N16" s="3">
        <v>50385000</v>
      </c>
      <c r="O16" s="3">
        <v>17</v>
      </c>
      <c r="P16" s="13">
        <f t="shared" si="0"/>
        <v>13</v>
      </c>
      <c r="Q16" s="14">
        <f t="shared" si="1"/>
        <v>3.25</v>
      </c>
      <c r="R16" s="14">
        <f t="shared" si="2"/>
        <v>0.25</v>
      </c>
      <c r="S16" s="14">
        <f t="shared" si="3"/>
        <v>1.75</v>
      </c>
      <c r="T16" s="15">
        <f t="shared" si="4"/>
        <v>15</v>
      </c>
      <c r="U16" s="15">
        <f t="shared" si="5"/>
        <v>10</v>
      </c>
      <c r="V16" s="15">
        <f t="shared" si="6"/>
        <v>20</v>
      </c>
      <c r="W16" s="15">
        <f t="shared" si="7"/>
        <v>10</v>
      </c>
      <c r="X16" s="15">
        <f t="shared" si="8"/>
        <v>10</v>
      </c>
      <c r="Y16" s="15">
        <f t="shared" si="9"/>
        <v>5</v>
      </c>
      <c r="Z16" s="15">
        <f t="shared" si="10"/>
        <v>5</v>
      </c>
      <c r="AA16" s="16">
        <f t="shared" si="11"/>
        <v>75</v>
      </c>
      <c r="AB16" s="16" t="str">
        <f t="shared" si="12"/>
        <v>Green</v>
      </c>
      <c r="AC16" s="1"/>
    </row>
    <row r="17" spans="1:29" ht="17.25" customHeight="1" thickBot="1" x14ac:dyDescent="0.35">
      <c r="A17" t="s">
        <v>29</v>
      </c>
      <c r="C17" s="2">
        <v>4</v>
      </c>
      <c r="D17" s="2">
        <v>0</v>
      </c>
      <c r="E17" s="2">
        <v>0</v>
      </c>
      <c r="F17" s="2">
        <v>0</v>
      </c>
      <c r="G17" s="2">
        <v>0</v>
      </c>
      <c r="H17" s="2">
        <v>6</v>
      </c>
      <c r="I17" s="2">
        <v>12</v>
      </c>
      <c r="J17" s="2">
        <v>5</v>
      </c>
      <c r="K17" s="2">
        <v>10</v>
      </c>
      <c r="L17" s="2">
        <v>3</v>
      </c>
      <c r="M17" s="2">
        <v>9</v>
      </c>
      <c r="N17" s="2">
        <v>861100</v>
      </c>
      <c r="O17" s="2">
        <v>17</v>
      </c>
      <c r="P17" s="13">
        <f t="shared" si="0"/>
        <v>18</v>
      </c>
      <c r="Q17" s="14">
        <f t="shared" si="1"/>
        <v>4.5</v>
      </c>
      <c r="R17" s="14">
        <f t="shared" si="2"/>
        <v>0.75</v>
      </c>
      <c r="S17" s="14">
        <f t="shared" si="3"/>
        <v>2.25</v>
      </c>
      <c r="T17" s="15">
        <f t="shared" si="4"/>
        <v>15</v>
      </c>
      <c r="U17" s="15">
        <f t="shared" si="5"/>
        <v>10</v>
      </c>
      <c r="V17" s="15">
        <f t="shared" si="6"/>
        <v>20</v>
      </c>
      <c r="W17" s="15">
        <f t="shared" si="7"/>
        <v>0</v>
      </c>
      <c r="X17" s="15">
        <f t="shared" si="8"/>
        <v>20</v>
      </c>
      <c r="Y17" s="15">
        <f t="shared" si="9"/>
        <v>10</v>
      </c>
      <c r="Z17" s="15">
        <f t="shared" si="10"/>
        <v>5</v>
      </c>
      <c r="AA17" s="16">
        <f t="shared" si="11"/>
        <v>80</v>
      </c>
      <c r="AB17" s="16" t="str">
        <f t="shared" si="12"/>
        <v>Green</v>
      </c>
      <c r="AC17" s="1"/>
    </row>
    <row r="18" spans="1:29" ht="33" customHeight="1" thickBot="1" x14ac:dyDescent="0.35">
      <c r="A18" t="s">
        <v>30</v>
      </c>
      <c r="C18" s="1">
        <v>4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9</v>
      </c>
      <c r="J18" s="1">
        <v>0</v>
      </c>
      <c r="K18" s="1">
        <v>15</v>
      </c>
      <c r="L18" s="1">
        <v>0</v>
      </c>
      <c r="M18" s="1">
        <v>6</v>
      </c>
      <c r="N18" s="1">
        <v>40670000</v>
      </c>
      <c r="O18" s="1">
        <v>4</v>
      </c>
      <c r="P18" s="13">
        <f t="shared" si="0"/>
        <v>11</v>
      </c>
      <c r="Q18" s="14">
        <f t="shared" si="1"/>
        <v>2.75</v>
      </c>
      <c r="R18" s="14">
        <f t="shared" si="2"/>
        <v>0</v>
      </c>
      <c r="S18" s="14">
        <f t="shared" si="3"/>
        <v>1.5</v>
      </c>
      <c r="T18" s="15">
        <f t="shared" si="4"/>
        <v>15</v>
      </c>
      <c r="U18" s="15">
        <f t="shared" si="5"/>
        <v>10</v>
      </c>
      <c r="V18" s="15">
        <f t="shared" si="6"/>
        <v>20</v>
      </c>
      <c r="W18" s="15">
        <f t="shared" si="7"/>
        <v>5</v>
      </c>
      <c r="X18" s="15">
        <f t="shared" si="8"/>
        <v>0</v>
      </c>
      <c r="Y18" s="15">
        <f t="shared" si="9"/>
        <v>5</v>
      </c>
      <c r="Z18" s="15">
        <f t="shared" si="10"/>
        <v>0</v>
      </c>
      <c r="AA18" s="16">
        <f t="shared" si="11"/>
        <v>55</v>
      </c>
      <c r="AB18" s="16" t="str">
        <f t="shared" si="12"/>
        <v>Amber</v>
      </c>
      <c r="AC18" s="2"/>
    </row>
    <row r="19" spans="1:29" ht="17.25" customHeight="1" thickBot="1" x14ac:dyDescent="0.35">
      <c r="A19" t="s">
        <v>32</v>
      </c>
      <c r="C19" s="1">
        <v>4</v>
      </c>
      <c r="D19" s="1">
        <v>0</v>
      </c>
      <c r="E19" s="1">
        <v>0</v>
      </c>
      <c r="F19" s="1">
        <v>0</v>
      </c>
      <c r="G19" s="1">
        <v>0</v>
      </c>
      <c r="H19" s="1">
        <v>3</v>
      </c>
      <c r="I19" s="1">
        <v>1</v>
      </c>
      <c r="J19" s="1">
        <v>8</v>
      </c>
      <c r="K19" s="1">
        <v>10</v>
      </c>
      <c r="L19" s="1">
        <v>1</v>
      </c>
      <c r="M19" s="1">
        <v>4</v>
      </c>
      <c r="N19" s="1">
        <v>200000</v>
      </c>
      <c r="O19" s="1">
        <v>1</v>
      </c>
      <c r="P19" s="13">
        <f t="shared" si="0"/>
        <v>4</v>
      </c>
      <c r="Q19" s="14">
        <f t="shared" si="1"/>
        <v>1</v>
      </c>
      <c r="R19" s="14">
        <f t="shared" si="2"/>
        <v>0.25</v>
      </c>
      <c r="S19" s="14">
        <f t="shared" si="3"/>
        <v>1</v>
      </c>
      <c r="T19" s="15">
        <f t="shared" si="4"/>
        <v>15</v>
      </c>
      <c r="U19" s="15">
        <f t="shared" si="5"/>
        <v>10</v>
      </c>
      <c r="V19" s="15">
        <f t="shared" si="6"/>
        <v>15</v>
      </c>
      <c r="W19" s="15">
        <f t="shared" si="7"/>
        <v>0</v>
      </c>
      <c r="X19" s="15">
        <f t="shared" si="8"/>
        <v>10</v>
      </c>
      <c r="Y19" s="15">
        <f t="shared" si="9"/>
        <v>5</v>
      </c>
      <c r="Z19" s="15">
        <f t="shared" si="10"/>
        <v>0</v>
      </c>
      <c r="AA19" s="16">
        <f t="shared" si="11"/>
        <v>55</v>
      </c>
      <c r="AB19" s="16" t="str">
        <f t="shared" si="12"/>
        <v>Amber</v>
      </c>
      <c r="AC19" s="2"/>
    </row>
    <row r="20" spans="1:29" ht="17.25" customHeight="1" thickBot="1" x14ac:dyDescent="0.35">
      <c r="A20" t="s">
        <v>18</v>
      </c>
      <c r="C20" s="1">
        <v>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</v>
      </c>
      <c r="J20" s="1">
        <v>0</v>
      </c>
      <c r="K20" s="1">
        <v>1</v>
      </c>
      <c r="L20" s="1">
        <v>1</v>
      </c>
      <c r="M20" s="1">
        <v>3</v>
      </c>
      <c r="N20" s="1">
        <v>6560000</v>
      </c>
      <c r="O20" s="1">
        <v>0</v>
      </c>
      <c r="P20" s="13">
        <f t="shared" si="0"/>
        <v>2</v>
      </c>
      <c r="Q20" s="14">
        <f t="shared" si="1"/>
        <v>0.5</v>
      </c>
      <c r="R20" s="14">
        <f t="shared" si="2"/>
        <v>0.25</v>
      </c>
      <c r="S20" s="14">
        <f t="shared" si="3"/>
        <v>0.75</v>
      </c>
      <c r="T20" s="15">
        <f t="shared" si="4"/>
        <v>15</v>
      </c>
      <c r="U20" s="15">
        <f t="shared" si="5"/>
        <v>10</v>
      </c>
      <c r="V20" s="15">
        <f t="shared" si="6"/>
        <v>5</v>
      </c>
      <c r="W20" s="15">
        <f t="shared" si="7"/>
        <v>0</v>
      </c>
      <c r="X20" s="15">
        <f t="shared" si="8"/>
        <v>10</v>
      </c>
      <c r="Y20" s="15">
        <f t="shared" si="9"/>
        <v>0</v>
      </c>
      <c r="Z20" s="15">
        <f t="shared" si="10"/>
        <v>0</v>
      </c>
      <c r="AA20" s="16">
        <f t="shared" si="11"/>
        <v>40</v>
      </c>
      <c r="AB20" s="16" t="str">
        <f t="shared" si="12"/>
        <v>Red</v>
      </c>
      <c r="AC20" s="1"/>
    </row>
    <row r="21" spans="1:29" ht="17.25" customHeight="1" thickBot="1" x14ac:dyDescent="0.35">
      <c r="A21" t="s">
        <v>22</v>
      </c>
      <c r="C21" s="1">
        <v>4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3</v>
      </c>
      <c r="J21" s="1">
        <v>0</v>
      </c>
      <c r="K21" s="1">
        <v>3</v>
      </c>
      <c r="L21" s="1">
        <v>0</v>
      </c>
      <c r="M21" s="1">
        <v>7</v>
      </c>
      <c r="N21" s="1">
        <v>984000</v>
      </c>
      <c r="O21" s="1">
        <v>0</v>
      </c>
      <c r="P21" s="13">
        <f t="shared" si="0"/>
        <v>4</v>
      </c>
      <c r="Q21" s="14">
        <f t="shared" si="1"/>
        <v>1</v>
      </c>
      <c r="R21" s="14">
        <f t="shared" si="2"/>
        <v>0</v>
      </c>
      <c r="S21" s="14">
        <f t="shared" si="3"/>
        <v>1.75</v>
      </c>
      <c r="T21" s="15">
        <f t="shared" si="4"/>
        <v>15</v>
      </c>
      <c r="U21" s="15">
        <f t="shared" si="5"/>
        <v>10</v>
      </c>
      <c r="V21" s="15">
        <f t="shared" si="6"/>
        <v>15</v>
      </c>
      <c r="W21" s="15">
        <f t="shared" si="7"/>
        <v>0</v>
      </c>
      <c r="X21" s="15">
        <f t="shared" si="8"/>
        <v>0</v>
      </c>
      <c r="Y21" s="15">
        <f t="shared" si="9"/>
        <v>5</v>
      </c>
      <c r="Z21" s="15">
        <f t="shared" si="10"/>
        <v>0</v>
      </c>
      <c r="AA21" s="16">
        <f t="shared" si="11"/>
        <v>45</v>
      </c>
      <c r="AB21" s="16" t="str">
        <f t="shared" si="12"/>
        <v>Red</v>
      </c>
      <c r="AC21" s="2"/>
    </row>
    <row r="22" spans="1:29" ht="17.25" customHeight="1" thickBot="1" x14ac:dyDescent="0.35">
      <c r="A22" t="s">
        <v>19</v>
      </c>
      <c r="C22" s="2">
        <v>4</v>
      </c>
      <c r="D22" s="2">
        <v>0</v>
      </c>
      <c r="E22" s="2">
        <v>0</v>
      </c>
      <c r="F22" s="2">
        <v>0</v>
      </c>
      <c r="G22" s="2">
        <v>0</v>
      </c>
      <c r="H22" s="2">
        <v>5</v>
      </c>
      <c r="I22" s="2">
        <v>2</v>
      </c>
      <c r="J22" s="2">
        <v>0</v>
      </c>
      <c r="K22" s="2">
        <v>1</v>
      </c>
      <c r="L22" s="2">
        <v>1</v>
      </c>
      <c r="M22" s="2">
        <v>19</v>
      </c>
      <c r="N22" s="2">
        <v>58000</v>
      </c>
      <c r="O22" s="2">
        <v>7</v>
      </c>
      <c r="P22" s="13">
        <f t="shared" si="0"/>
        <v>7</v>
      </c>
      <c r="Q22" s="14">
        <f t="shared" si="1"/>
        <v>1.75</v>
      </c>
      <c r="R22" s="14">
        <f t="shared" si="2"/>
        <v>0.25</v>
      </c>
      <c r="S22" s="14">
        <f t="shared" si="3"/>
        <v>4.75</v>
      </c>
      <c r="T22" s="15">
        <f t="shared" si="4"/>
        <v>15</v>
      </c>
      <c r="U22" s="15">
        <f t="shared" si="5"/>
        <v>10</v>
      </c>
      <c r="V22" s="15">
        <f t="shared" si="6"/>
        <v>20</v>
      </c>
      <c r="W22" s="15">
        <f t="shared" si="7"/>
        <v>0</v>
      </c>
      <c r="X22" s="15">
        <f t="shared" si="8"/>
        <v>10</v>
      </c>
      <c r="Y22" s="15">
        <f t="shared" si="9"/>
        <v>10</v>
      </c>
      <c r="Z22" s="15">
        <f t="shared" si="10"/>
        <v>0</v>
      </c>
      <c r="AA22" s="16">
        <f t="shared" si="11"/>
        <v>65</v>
      </c>
      <c r="AB22" s="16" t="str">
        <f t="shared" si="12"/>
        <v>Amber</v>
      </c>
      <c r="AC22" s="1"/>
    </row>
    <row r="23" spans="1:29" ht="33" customHeight="1" thickBot="1" x14ac:dyDescent="0.35">
      <c r="A23" t="s">
        <v>20</v>
      </c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1</v>
      </c>
      <c r="L23" s="1">
        <v>2</v>
      </c>
      <c r="M23" s="1">
        <v>4</v>
      </c>
      <c r="N23" s="1">
        <v>153400</v>
      </c>
      <c r="O23" s="1">
        <v>0</v>
      </c>
      <c r="P23" s="13">
        <f t="shared" si="0"/>
        <v>1</v>
      </c>
      <c r="Q23" s="14">
        <f t="shared" si="1"/>
        <v>0.25</v>
      </c>
      <c r="R23" s="14">
        <f t="shared" si="2"/>
        <v>0.5</v>
      </c>
      <c r="S23" s="14">
        <f t="shared" si="3"/>
        <v>1</v>
      </c>
      <c r="T23" s="15">
        <f t="shared" si="4"/>
        <v>15</v>
      </c>
      <c r="U23" s="15">
        <f t="shared" si="5"/>
        <v>10</v>
      </c>
      <c r="V23" s="15">
        <f t="shared" si="6"/>
        <v>0</v>
      </c>
      <c r="W23" s="15">
        <f t="shared" si="7"/>
        <v>0</v>
      </c>
      <c r="X23" s="15">
        <f t="shared" si="8"/>
        <v>15</v>
      </c>
      <c r="Y23" s="15">
        <f t="shared" si="9"/>
        <v>5</v>
      </c>
      <c r="Z23" s="15">
        <f t="shared" si="10"/>
        <v>0</v>
      </c>
      <c r="AA23" s="16">
        <f t="shared" si="11"/>
        <v>45</v>
      </c>
      <c r="AB23" s="16" t="str">
        <f t="shared" si="12"/>
        <v>Red</v>
      </c>
      <c r="AC23" s="2"/>
    </row>
    <row r="24" spans="1:29" ht="17.25" customHeight="1" thickBot="1" x14ac:dyDescent="0.35">
      <c r="A24" t="s">
        <v>21</v>
      </c>
      <c r="C24" s="2">
        <v>3</v>
      </c>
      <c r="D24" s="2">
        <v>0</v>
      </c>
      <c r="E24" s="2">
        <v>1</v>
      </c>
      <c r="F24" s="2">
        <v>0</v>
      </c>
      <c r="G24" s="2">
        <v>0</v>
      </c>
      <c r="H24" s="2">
        <v>3</v>
      </c>
      <c r="I24" s="2">
        <v>4</v>
      </c>
      <c r="J24" s="2">
        <v>0</v>
      </c>
      <c r="K24" s="2">
        <v>1</v>
      </c>
      <c r="L24" s="2">
        <v>0</v>
      </c>
      <c r="M24" s="2">
        <v>10</v>
      </c>
      <c r="N24" s="2">
        <v>6311000</v>
      </c>
      <c r="O24" s="2">
        <v>5</v>
      </c>
      <c r="P24" s="13">
        <f t="shared" si="0"/>
        <v>7</v>
      </c>
      <c r="Q24" s="14">
        <f t="shared" si="1"/>
        <v>1.75</v>
      </c>
      <c r="R24" s="14">
        <f t="shared" si="2"/>
        <v>0</v>
      </c>
      <c r="S24" s="14">
        <f t="shared" si="3"/>
        <v>2.5</v>
      </c>
      <c r="T24" s="15">
        <f t="shared" si="4"/>
        <v>15</v>
      </c>
      <c r="U24" s="15">
        <f t="shared" si="5"/>
        <v>5</v>
      </c>
      <c r="V24" s="15">
        <f t="shared" si="6"/>
        <v>20</v>
      </c>
      <c r="W24" s="15">
        <f t="shared" si="7"/>
        <v>0</v>
      </c>
      <c r="X24" s="15">
        <f t="shared" si="8"/>
        <v>0</v>
      </c>
      <c r="Y24" s="15">
        <f t="shared" si="9"/>
        <v>10</v>
      </c>
      <c r="Z24" s="15">
        <f t="shared" si="10"/>
        <v>0</v>
      </c>
      <c r="AA24" s="16">
        <f t="shared" si="11"/>
        <v>50</v>
      </c>
      <c r="AB24" s="16" t="str">
        <f t="shared" si="12"/>
        <v>Amber</v>
      </c>
      <c r="AC24" s="1"/>
    </row>
    <row r="25" spans="1:29" ht="17.25" customHeight="1" thickBot="1" x14ac:dyDescent="0.35">
      <c r="A25" t="s">
        <v>24</v>
      </c>
      <c r="C25" s="1">
        <v>4</v>
      </c>
      <c r="D25" s="1">
        <v>0</v>
      </c>
      <c r="E25" s="1">
        <v>0</v>
      </c>
      <c r="F25" s="1">
        <v>0</v>
      </c>
      <c r="G25" s="1">
        <v>0</v>
      </c>
      <c r="H25" s="1">
        <v>3</v>
      </c>
      <c r="I25" s="1">
        <v>0</v>
      </c>
      <c r="J25" s="1">
        <v>1</v>
      </c>
      <c r="K25" s="1">
        <v>3</v>
      </c>
      <c r="L25" s="1">
        <v>0</v>
      </c>
      <c r="M25" s="1">
        <v>2</v>
      </c>
      <c r="N25" s="1">
        <v>845000</v>
      </c>
      <c r="O25" s="1">
        <v>0</v>
      </c>
      <c r="P25" s="13">
        <f t="shared" si="0"/>
        <v>3</v>
      </c>
      <c r="Q25" s="14">
        <f t="shared" si="1"/>
        <v>0.75</v>
      </c>
      <c r="R25" s="14">
        <f t="shared" si="2"/>
        <v>0</v>
      </c>
      <c r="S25" s="14">
        <f t="shared" si="3"/>
        <v>0.5</v>
      </c>
      <c r="T25" s="15">
        <f t="shared" si="4"/>
        <v>15</v>
      </c>
      <c r="U25" s="15">
        <f t="shared" si="5"/>
        <v>10</v>
      </c>
      <c r="V25" s="15">
        <f t="shared" si="6"/>
        <v>10</v>
      </c>
      <c r="W25" s="15">
        <f t="shared" si="7"/>
        <v>0</v>
      </c>
      <c r="X25" s="15">
        <f t="shared" si="8"/>
        <v>0</v>
      </c>
      <c r="Y25" s="15">
        <f t="shared" si="9"/>
        <v>0</v>
      </c>
      <c r="Z25" s="15">
        <f t="shared" si="10"/>
        <v>0</v>
      </c>
      <c r="AA25" s="16">
        <f t="shared" si="11"/>
        <v>35</v>
      </c>
      <c r="AB25" s="16" t="str">
        <f t="shared" si="12"/>
        <v>Red</v>
      </c>
      <c r="AC25" s="1"/>
    </row>
    <row r="26" spans="1:29" ht="17.25" customHeight="1" thickBot="1" x14ac:dyDescent="0.35">
      <c r="A26" t="s">
        <v>23</v>
      </c>
      <c r="C26" s="2">
        <v>4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3</v>
      </c>
      <c r="J26" s="2">
        <v>11</v>
      </c>
      <c r="K26" s="2">
        <v>9</v>
      </c>
      <c r="L26" s="2">
        <v>0</v>
      </c>
      <c r="M26" s="2">
        <v>6</v>
      </c>
      <c r="N26" s="2">
        <v>447100</v>
      </c>
      <c r="O26" s="2">
        <v>1</v>
      </c>
      <c r="P26" s="13">
        <f t="shared" si="0"/>
        <v>4</v>
      </c>
      <c r="Q26" s="14">
        <f t="shared" si="1"/>
        <v>1</v>
      </c>
      <c r="R26" s="14">
        <f t="shared" si="2"/>
        <v>0</v>
      </c>
      <c r="S26" s="14">
        <f t="shared" si="3"/>
        <v>1.5</v>
      </c>
      <c r="T26" s="15">
        <f t="shared" si="4"/>
        <v>15</v>
      </c>
      <c r="U26" s="15">
        <f t="shared" si="5"/>
        <v>10</v>
      </c>
      <c r="V26" s="15">
        <f t="shared" si="6"/>
        <v>15</v>
      </c>
      <c r="W26" s="15">
        <f t="shared" si="7"/>
        <v>0</v>
      </c>
      <c r="X26" s="15">
        <f t="shared" si="8"/>
        <v>0</v>
      </c>
      <c r="Y26" s="15">
        <f t="shared" si="9"/>
        <v>5</v>
      </c>
      <c r="Z26" s="15">
        <f t="shared" si="10"/>
        <v>0</v>
      </c>
      <c r="AA26" s="16">
        <f t="shared" si="11"/>
        <v>45</v>
      </c>
      <c r="AB26" s="16" t="str">
        <f t="shared" si="12"/>
        <v>Red</v>
      </c>
      <c r="AC26" s="1"/>
    </row>
    <row r="27" spans="1:29" ht="17.25" customHeight="1" thickBot="1" x14ac:dyDescent="0.35">
      <c r="A27" t="s">
        <v>7</v>
      </c>
      <c r="C27" s="2">
        <v>4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3</v>
      </c>
      <c r="J27" s="2">
        <v>0</v>
      </c>
      <c r="K27" s="2">
        <v>0</v>
      </c>
      <c r="L27" s="2">
        <v>0</v>
      </c>
      <c r="M27" s="2">
        <v>2</v>
      </c>
      <c r="N27" s="2">
        <v>250000</v>
      </c>
      <c r="O27" s="2">
        <v>0</v>
      </c>
      <c r="P27" s="13">
        <f t="shared" si="0"/>
        <v>4</v>
      </c>
      <c r="Q27" s="14">
        <f t="shared" si="1"/>
        <v>1</v>
      </c>
      <c r="R27" s="14">
        <f t="shared" si="2"/>
        <v>0</v>
      </c>
      <c r="S27" s="14">
        <f t="shared" si="3"/>
        <v>0.5</v>
      </c>
      <c r="T27" s="15">
        <f t="shared" si="4"/>
        <v>15</v>
      </c>
      <c r="U27" s="15">
        <f t="shared" si="5"/>
        <v>10</v>
      </c>
      <c r="V27" s="15">
        <f t="shared" si="6"/>
        <v>15</v>
      </c>
      <c r="W27" s="15">
        <f t="shared" si="7"/>
        <v>0</v>
      </c>
      <c r="X27" s="15">
        <f t="shared" si="8"/>
        <v>0</v>
      </c>
      <c r="Y27" s="15">
        <f t="shared" si="9"/>
        <v>0</v>
      </c>
      <c r="Z27" s="15">
        <f t="shared" si="10"/>
        <v>0</v>
      </c>
      <c r="AA27" s="16">
        <f t="shared" si="11"/>
        <v>40</v>
      </c>
      <c r="AB27" s="16" t="str">
        <f t="shared" si="12"/>
        <v>Red</v>
      </c>
      <c r="AC27" s="1"/>
    </row>
    <row r="28" spans="1:29" ht="17.25" customHeight="1" thickBot="1" x14ac:dyDescent="0.35">
      <c r="A28" t="s">
        <v>8</v>
      </c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6</v>
      </c>
      <c r="I28" s="1">
        <v>2</v>
      </c>
      <c r="J28" s="1">
        <v>0</v>
      </c>
      <c r="K28" s="1">
        <v>4</v>
      </c>
      <c r="L28" s="1">
        <v>0</v>
      </c>
      <c r="M28" s="1">
        <v>12</v>
      </c>
      <c r="N28" s="1">
        <v>6560000</v>
      </c>
      <c r="O28" s="1">
        <v>5</v>
      </c>
      <c r="P28" s="13">
        <f t="shared" si="0"/>
        <v>8</v>
      </c>
      <c r="Q28" s="14">
        <f t="shared" si="1"/>
        <v>2</v>
      </c>
      <c r="R28" s="14">
        <f t="shared" si="2"/>
        <v>0</v>
      </c>
      <c r="S28" s="14">
        <f t="shared" si="3"/>
        <v>3</v>
      </c>
      <c r="T28" s="15">
        <f t="shared" si="4"/>
        <v>15</v>
      </c>
      <c r="U28" s="15">
        <f t="shared" si="5"/>
        <v>10</v>
      </c>
      <c r="V28" s="15">
        <f t="shared" si="6"/>
        <v>20</v>
      </c>
      <c r="W28" s="15">
        <f t="shared" si="7"/>
        <v>0</v>
      </c>
      <c r="X28" s="15">
        <f t="shared" si="8"/>
        <v>0</v>
      </c>
      <c r="Y28" s="15">
        <f t="shared" si="9"/>
        <v>10</v>
      </c>
      <c r="Z28" s="15">
        <f t="shared" si="10"/>
        <v>0</v>
      </c>
      <c r="AA28" s="16">
        <f t="shared" si="11"/>
        <v>55</v>
      </c>
      <c r="AB28" s="16" t="str">
        <f t="shared" si="12"/>
        <v>Amber</v>
      </c>
      <c r="AC28" s="1"/>
    </row>
    <row r="29" spans="1:29" ht="17.25" customHeight="1" thickBot="1" x14ac:dyDescent="0.35">
      <c r="A29" t="s">
        <v>0</v>
      </c>
      <c r="C29" s="1">
        <v>3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1</v>
      </c>
      <c r="L29" s="1">
        <v>2</v>
      </c>
      <c r="M29" s="1">
        <v>9</v>
      </c>
      <c r="N29" s="1">
        <v>0</v>
      </c>
      <c r="O29" s="1">
        <v>9</v>
      </c>
      <c r="P29" s="13">
        <f t="shared" si="0"/>
        <v>0</v>
      </c>
      <c r="Q29" s="14">
        <f t="shared" si="1"/>
        <v>0</v>
      </c>
      <c r="R29" s="14">
        <f t="shared" si="2"/>
        <v>0.5</v>
      </c>
      <c r="S29" s="14">
        <f t="shared" si="3"/>
        <v>2.25</v>
      </c>
      <c r="T29" s="15">
        <f t="shared" si="4"/>
        <v>15</v>
      </c>
      <c r="U29" s="15">
        <f t="shared" si="5"/>
        <v>10</v>
      </c>
      <c r="V29" s="15">
        <f t="shared" si="6"/>
        <v>0</v>
      </c>
      <c r="W29" s="15">
        <f t="shared" si="7"/>
        <v>0</v>
      </c>
      <c r="X29" s="15">
        <f t="shared" si="8"/>
        <v>15</v>
      </c>
      <c r="Y29" s="15">
        <f t="shared" si="9"/>
        <v>10</v>
      </c>
      <c r="Z29" s="15">
        <f t="shared" si="10"/>
        <v>0</v>
      </c>
      <c r="AA29" s="16">
        <f t="shared" si="11"/>
        <v>50</v>
      </c>
      <c r="AB29" s="16" t="str">
        <f t="shared" si="12"/>
        <v>Amber</v>
      </c>
      <c r="AC29" s="1"/>
    </row>
    <row r="30" spans="1:29" ht="33" customHeight="1" thickBot="1" x14ac:dyDescent="0.35">
      <c r="A30" t="s">
        <v>6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2</v>
      </c>
      <c r="J30" s="1">
        <v>0</v>
      </c>
      <c r="K30" s="1">
        <v>11</v>
      </c>
      <c r="L30" s="1">
        <v>1</v>
      </c>
      <c r="M30" s="1">
        <v>11</v>
      </c>
      <c r="N30" s="1">
        <v>6742300</v>
      </c>
      <c r="O30" s="1">
        <v>6</v>
      </c>
      <c r="P30" s="13">
        <f t="shared" si="0"/>
        <v>3</v>
      </c>
      <c r="Q30" s="14">
        <f t="shared" si="1"/>
        <v>0.75</v>
      </c>
      <c r="R30" s="14">
        <f t="shared" si="2"/>
        <v>0.25</v>
      </c>
      <c r="S30" s="14">
        <f t="shared" si="3"/>
        <v>2.75</v>
      </c>
      <c r="T30" s="15">
        <f t="shared" si="4"/>
        <v>15</v>
      </c>
      <c r="U30" s="15">
        <f t="shared" si="5"/>
        <v>10</v>
      </c>
      <c r="V30" s="15">
        <f t="shared" si="6"/>
        <v>10</v>
      </c>
      <c r="W30" s="15">
        <f t="shared" si="7"/>
        <v>0</v>
      </c>
      <c r="X30" s="15">
        <f t="shared" si="8"/>
        <v>10</v>
      </c>
      <c r="Y30" s="15">
        <f t="shared" si="9"/>
        <v>10</v>
      </c>
      <c r="Z30" s="15">
        <f t="shared" si="10"/>
        <v>0</v>
      </c>
      <c r="AA30" s="16">
        <f t="shared" si="11"/>
        <v>55</v>
      </c>
      <c r="AB30" s="16" t="str">
        <f t="shared" si="12"/>
        <v>Amber</v>
      </c>
      <c r="AC30" s="2"/>
    </row>
    <row r="31" spans="1:29" ht="33" customHeight="1" thickBot="1" x14ac:dyDescent="0.35">
      <c r="A31" t="s">
        <v>1</v>
      </c>
      <c r="C31" s="2">
        <v>4</v>
      </c>
      <c r="D31" s="2">
        <v>0</v>
      </c>
      <c r="E31" s="2">
        <v>0</v>
      </c>
      <c r="F31" s="2">
        <v>0</v>
      </c>
      <c r="G31" s="2">
        <v>0</v>
      </c>
      <c r="H31" s="2">
        <v>2</v>
      </c>
      <c r="I31" s="2">
        <v>5</v>
      </c>
      <c r="J31" s="2">
        <v>0</v>
      </c>
      <c r="K31" s="2">
        <v>4</v>
      </c>
      <c r="L31" s="2">
        <v>0</v>
      </c>
      <c r="M31" s="2">
        <v>7</v>
      </c>
      <c r="N31" s="2">
        <v>3383300</v>
      </c>
      <c r="O31" s="2">
        <v>5</v>
      </c>
      <c r="P31" s="13">
        <f t="shared" si="0"/>
        <v>7</v>
      </c>
      <c r="Q31" s="14">
        <f t="shared" si="1"/>
        <v>1.75</v>
      </c>
      <c r="R31" s="14">
        <f t="shared" si="2"/>
        <v>0</v>
      </c>
      <c r="S31" s="14">
        <f t="shared" si="3"/>
        <v>1.75</v>
      </c>
      <c r="T31" s="15">
        <f t="shared" si="4"/>
        <v>15</v>
      </c>
      <c r="U31" s="15">
        <f t="shared" si="5"/>
        <v>10</v>
      </c>
      <c r="V31" s="15">
        <f t="shared" si="6"/>
        <v>20</v>
      </c>
      <c r="W31" s="15">
        <f t="shared" si="7"/>
        <v>0</v>
      </c>
      <c r="X31" s="15">
        <f t="shared" si="8"/>
        <v>0</v>
      </c>
      <c r="Y31" s="15">
        <f t="shared" si="9"/>
        <v>5</v>
      </c>
      <c r="Z31" s="15">
        <f t="shared" si="10"/>
        <v>0</v>
      </c>
      <c r="AA31" s="16">
        <f t="shared" si="11"/>
        <v>50</v>
      </c>
      <c r="AB31" s="16" t="str">
        <f t="shared" si="12"/>
        <v>Amber</v>
      </c>
      <c r="AC31" s="1"/>
    </row>
    <row r="32" spans="1:29" ht="33" customHeight="1" thickBot="1" x14ac:dyDescent="0.35">
      <c r="A32" t="s">
        <v>2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5</v>
      </c>
      <c r="J32" s="1">
        <v>1</v>
      </c>
      <c r="K32" s="1">
        <v>0</v>
      </c>
      <c r="L32" s="1">
        <v>2</v>
      </c>
      <c r="M32" s="1">
        <v>3</v>
      </c>
      <c r="N32" s="1">
        <v>2296200</v>
      </c>
      <c r="O32" s="1">
        <v>0</v>
      </c>
      <c r="P32" s="13">
        <f t="shared" si="0"/>
        <v>6</v>
      </c>
      <c r="Q32" s="14">
        <f t="shared" si="1"/>
        <v>1.5</v>
      </c>
      <c r="R32" s="14">
        <f t="shared" si="2"/>
        <v>0.5</v>
      </c>
      <c r="S32" s="14">
        <f t="shared" si="3"/>
        <v>0.75</v>
      </c>
      <c r="T32" s="15">
        <f t="shared" si="4"/>
        <v>15</v>
      </c>
      <c r="U32" s="15">
        <f t="shared" si="5"/>
        <v>10</v>
      </c>
      <c r="V32" s="15">
        <f t="shared" si="6"/>
        <v>20</v>
      </c>
      <c r="W32" s="15">
        <f t="shared" si="7"/>
        <v>0</v>
      </c>
      <c r="X32" s="15">
        <f t="shared" si="8"/>
        <v>15</v>
      </c>
      <c r="Y32" s="15">
        <f t="shared" si="9"/>
        <v>0</v>
      </c>
      <c r="Z32" s="15">
        <f t="shared" si="10"/>
        <v>0</v>
      </c>
      <c r="AA32" s="16">
        <f t="shared" si="11"/>
        <v>60</v>
      </c>
      <c r="AB32" s="16" t="str">
        <f t="shared" si="12"/>
        <v>Amber</v>
      </c>
      <c r="AC32" s="2"/>
    </row>
    <row r="33" spans="1:29" ht="33" customHeight="1" thickBot="1" x14ac:dyDescent="0.35">
      <c r="A33" t="s">
        <v>3</v>
      </c>
      <c r="C33" s="2">
        <v>2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2</v>
      </c>
      <c r="J33" s="2">
        <v>0</v>
      </c>
      <c r="K33" s="2">
        <v>0</v>
      </c>
      <c r="L33" s="2">
        <v>0</v>
      </c>
      <c r="M33" s="2">
        <v>5</v>
      </c>
      <c r="N33" s="2">
        <v>10000</v>
      </c>
      <c r="O33" s="2">
        <v>0</v>
      </c>
      <c r="P33" s="13">
        <f t="shared" si="0"/>
        <v>2</v>
      </c>
      <c r="Q33" s="14">
        <f t="shared" si="1"/>
        <v>0.5</v>
      </c>
      <c r="R33" s="14">
        <f t="shared" si="2"/>
        <v>0</v>
      </c>
      <c r="S33" s="14">
        <f t="shared" si="3"/>
        <v>1.25</v>
      </c>
      <c r="T33" s="15">
        <f t="shared" si="4"/>
        <v>5</v>
      </c>
      <c r="U33" s="15">
        <f t="shared" si="5"/>
        <v>10</v>
      </c>
      <c r="V33" s="15">
        <f t="shared" si="6"/>
        <v>5</v>
      </c>
      <c r="W33" s="15">
        <f t="shared" si="7"/>
        <v>0</v>
      </c>
      <c r="X33" s="15">
        <f t="shared" si="8"/>
        <v>0</v>
      </c>
      <c r="Y33" s="15">
        <f t="shared" si="9"/>
        <v>5</v>
      </c>
      <c r="Z33" s="15">
        <f t="shared" si="10"/>
        <v>0</v>
      </c>
      <c r="AA33" s="16">
        <f t="shared" si="11"/>
        <v>25</v>
      </c>
      <c r="AB33" s="16" t="str">
        <f t="shared" si="12"/>
        <v>Grey</v>
      </c>
      <c r="AC33" s="1"/>
    </row>
    <row r="34" spans="1:29" ht="33" customHeight="1" thickBot="1" x14ac:dyDescent="0.35">
      <c r="A34" t="s">
        <v>4</v>
      </c>
      <c r="C34" s="1">
        <v>4</v>
      </c>
      <c r="D34" s="1">
        <v>0</v>
      </c>
      <c r="E34" s="1">
        <v>0</v>
      </c>
      <c r="F34" s="1">
        <v>0</v>
      </c>
      <c r="G34" s="1">
        <v>0</v>
      </c>
      <c r="H34" s="1">
        <v>2</v>
      </c>
      <c r="I34" s="1">
        <v>5</v>
      </c>
      <c r="J34" s="1">
        <v>0</v>
      </c>
      <c r="K34" s="1">
        <v>1</v>
      </c>
      <c r="L34" s="1">
        <v>1</v>
      </c>
      <c r="M34" s="1">
        <v>8</v>
      </c>
      <c r="N34" s="1">
        <v>149000</v>
      </c>
      <c r="O34" s="1">
        <v>3</v>
      </c>
      <c r="P34" s="13">
        <f t="shared" si="0"/>
        <v>7</v>
      </c>
      <c r="Q34" s="14">
        <f t="shared" si="1"/>
        <v>1.75</v>
      </c>
      <c r="R34" s="14">
        <f t="shared" si="2"/>
        <v>0.25</v>
      </c>
      <c r="S34" s="14">
        <f t="shared" si="3"/>
        <v>2</v>
      </c>
      <c r="T34" s="15">
        <f t="shared" si="4"/>
        <v>15</v>
      </c>
      <c r="U34" s="15">
        <f t="shared" si="5"/>
        <v>10</v>
      </c>
      <c r="V34" s="15">
        <f t="shared" si="6"/>
        <v>20</v>
      </c>
      <c r="W34" s="15">
        <f t="shared" si="7"/>
        <v>0</v>
      </c>
      <c r="X34" s="15">
        <f t="shared" si="8"/>
        <v>10</v>
      </c>
      <c r="Y34" s="15">
        <f t="shared" si="9"/>
        <v>10</v>
      </c>
      <c r="Z34" s="15">
        <f t="shared" si="10"/>
        <v>0</v>
      </c>
      <c r="AA34" s="16">
        <f t="shared" si="11"/>
        <v>65</v>
      </c>
      <c r="AB34" s="16" t="str">
        <f t="shared" si="12"/>
        <v>Amber</v>
      </c>
      <c r="AC34" s="1"/>
    </row>
    <row r="35" spans="1:29" ht="33" customHeight="1" thickBot="1" x14ac:dyDescent="0.35">
      <c r="A35" t="s">
        <v>5</v>
      </c>
      <c r="C35" s="2">
        <v>4</v>
      </c>
      <c r="D35" s="2">
        <v>0</v>
      </c>
      <c r="E35" s="2">
        <v>0</v>
      </c>
      <c r="F35" s="2">
        <v>0</v>
      </c>
      <c r="G35" s="2">
        <v>0</v>
      </c>
      <c r="H35" s="2">
        <v>2</v>
      </c>
      <c r="I35" s="2">
        <v>9</v>
      </c>
      <c r="J35" s="2">
        <v>7</v>
      </c>
      <c r="K35" s="2">
        <v>0</v>
      </c>
      <c r="L35" s="2">
        <v>4</v>
      </c>
      <c r="M35" s="2">
        <v>20</v>
      </c>
      <c r="N35" s="2">
        <v>90000</v>
      </c>
      <c r="O35" s="2">
        <v>5</v>
      </c>
      <c r="P35" s="13">
        <f t="shared" si="0"/>
        <v>11</v>
      </c>
      <c r="Q35" s="14">
        <f t="shared" si="1"/>
        <v>2.75</v>
      </c>
      <c r="R35" s="14">
        <f t="shared" si="2"/>
        <v>1</v>
      </c>
      <c r="S35" s="14">
        <f t="shared" si="3"/>
        <v>5</v>
      </c>
      <c r="T35" s="15">
        <f t="shared" si="4"/>
        <v>15</v>
      </c>
      <c r="U35" s="15">
        <f t="shared" si="5"/>
        <v>10</v>
      </c>
      <c r="V35" s="15">
        <f t="shared" si="6"/>
        <v>20</v>
      </c>
      <c r="W35" s="15">
        <f t="shared" si="7"/>
        <v>0</v>
      </c>
      <c r="X35" s="15">
        <f t="shared" si="8"/>
        <v>20</v>
      </c>
      <c r="Y35" s="15">
        <f t="shared" si="9"/>
        <v>10</v>
      </c>
      <c r="Z35" s="15">
        <f t="shared" si="10"/>
        <v>0</v>
      </c>
      <c r="AA35" s="16">
        <f t="shared" si="11"/>
        <v>75</v>
      </c>
      <c r="AB35" s="16" t="str">
        <f t="shared" si="12"/>
        <v>Green</v>
      </c>
      <c r="AC35" s="2"/>
    </row>
    <row r="36" spans="1:29" ht="17.25" thickBot="1" x14ac:dyDescent="0.35"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18"/>
      <c r="O36" s="2"/>
      <c r="P36" s="13">
        <f t="shared" ref="P36" si="13">H36+I36</f>
        <v>0</v>
      </c>
      <c r="Q36" s="14" t="e">
        <f t="shared" ref="Q36" si="14">P36/(C36+D36+E36+F36+G36)</f>
        <v>#DIV/0!</v>
      </c>
      <c r="R36" s="14" t="e">
        <f t="shared" ref="R36" si="15">L36/(C36+D36+E36+F36+G36)</f>
        <v>#DIV/0!</v>
      </c>
      <c r="S36" s="14" t="e">
        <f t="shared" ref="S36" si="16">M36/(C36+D36+E36+F36+G36)</f>
        <v>#DIV/0!</v>
      </c>
      <c r="T36" s="15">
        <f t="shared" ref="T36" si="17">IF(D36&gt;2,0,IF(D36=2,5,IF(D36=1,10,IF(D36&lt;1,15))))</f>
        <v>15</v>
      </c>
      <c r="U36" s="15">
        <f t="shared" ref="U36" si="18">IF(E36&gt;=2,0,IF(E36=1,5,IF(E36=0,10)))</f>
        <v>10</v>
      </c>
      <c r="V36" s="15" t="e">
        <f t="shared" ref="V36" si="19">IF(Q36&lt;0.5,0,IF(Q36&lt;0.75,5,IF(Q36&lt;1,10,IF(Q36&lt;1.2,15,IF(Q36&gt;=1.2,20)))))</f>
        <v>#DIV/0!</v>
      </c>
      <c r="W36" s="15">
        <f t="shared" ref="W36" si="20">IF(N36&lt;25000000,0,IF(N36&lt;50000000,5,IF(N36&lt;100000000,10,IF(N36&gt;=100000000,15))))</f>
        <v>0</v>
      </c>
      <c r="X36" s="15" t="e">
        <f t="shared" ref="X36" si="21">IF(R36&lt;0.1,0,IF(R36&lt;0.2,5,IF(R36&lt;0.4,10,IF(R36&lt;0.6,15,IF(R36&gt;=0.6,20)))))</f>
        <v>#DIV/0!</v>
      </c>
      <c r="Y36" s="15" t="e">
        <f t="shared" ref="Y36" si="22">IF(S36&lt;1,0,IF(S36&lt;2,5,IF(S36&gt;=2,10)))</f>
        <v>#DIV/0!</v>
      </c>
      <c r="Z36" s="15">
        <f t="shared" ref="Z36" si="23">IF(O36&lt;10,0,IF(O36&lt;20,5,IF(O36&gt;=20,10)))</f>
        <v>0</v>
      </c>
      <c r="AA36" s="16" t="e">
        <f t="shared" ref="AA36" si="24">SUM(T36:Z36)</f>
        <v>#DIV/0!</v>
      </c>
      <c r="AB36" s="16" t="e">
        <f t="shared" ref="AB36" si="25">IF(AA36&lt;30,"Grey",IF(AA36&lt;50,"Red",IF(AA36&lt;70,"Amber",IF(AA36&gt;=70,"Green"))))</f>
        <v>#DIV/0!</v>
      </c>
      <c r="AC36" s="2"/>
    </row>
  </sheetData>
  <autoFilter ref="A2:AB2" xr:uid="{62F18075-3BAE-4C37-B078-BF34ADCB46BE}">
    <sortState xmlns:xlrd2="http://schemas.microsoft.com/office/spreadsheetml/2017/richdata2" ref="A3:AB35">
      <sortCondition ref="A2"/>
    </sortState>
  </autoFilter>
  <phoneticPr fontId="5" type="noConversion"/>
  <conditionalFormatting sqref="AA3:AA36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0408-C5D8-4B82-9BB3-D76C1B5981B3}">
  <dimension ref="A1:AC36"/>
  <sheetViews>
    <sheetView workbookViewId="0">
      <selection sqref="A1:XFD1048576"/>
    </sheetView>
  </sheetViews>
  <sheetFormatPr defaultRowHeight="16.5" x14ac:dyDescent="0.3"/>
  <cols>
    <col min="1" max="1" width="11.125" bestFit="1" customWidth="1"/>
    <col min="3" max="13" width="3.875" customWidth="1"/>
    <col min="14" max="14" width="10" bestFit="1" customWidth="1"/>
    <col min="15" max="15" width="5.125" customWidth="1"/>
    <col min="16" max="26" width="4.5" customWidth="1"/>
  </cols>
  <sheetData>
    <row r="1" spans="1:29" x14ac:dyDescent="0.3">
      <c r="A1" s="17" t="s">
        <v>61</v>
      </c>
    </row>
    <row r="2" spans="1:29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9" ht="33" customHeight="1" thickBot="1" x14ac:dyDescent="0.35">
      <c r="A3" t="s">
        <v>17</v>
      </c>
      <c r="C3" s="2">
        <v>3</v>
      </c>
      <c r="D3" s="2">
        <v>0</v>
      </c>
      <c r="E3" s="2">
        <v>0</v>
      </c>
      <c r="F3" s="2">
        <v>0</v>
      </c>
      <c r="G3" s="2">
        <v>0</v>
      </c>
      <c r="H3" s="2">
        <v>4</v>
      </c>
      <c r="I3" s="2">
        <v>1</v>
      </c>
      <c r="J3" s="2">
        <v>0</v>
      </c>
      <c r="K3" s="2">
        <v>4</v>
      </c>
      <c r="L3" s="2">
        <v>0</v>
      </c>
      <c r="M3" s="2">
        <v>6</v>
      </c>
      <c r="N3" s="2">
        <v>1199000</v>
      </c>
      <c r="O3" s="2">
        <v>1</v>
      </c>
      <c r="P3" s="13">
        <f t="shared" ref="P3:P35" si="0">H3+I3</f>
        <v>5</v>
      </c>
      <c r="Q3" s="14">
        <f t="shared" ref="Q3:Q35" si="1">P3/(C3+D3+E3+F3+G3)</f>
        <v>1.6666666666666667</v>
      </c>
      <c r="R3" s="14">
        <f t="shared" ref="R3:R35" si="2">L3/(C3+D3+E3+F3+G3)</f>
        <v>0</v>
      </c>
      <c r="S3" s="14">
        <f t="shared" ref="S3:S35" si="3">M3/(C3+D3+E3+F3+G3)</f>
        <v>2</v>
      </c>
      <c r="T3" s="15">
        <f t="shared" ref="T3:T35" si="4">IF(D3&gt;2,0,IF(D3=2,5,IF(D3=1,10,IF(D3&lt;1,15))))</f>
        <v>15</v>
      </c>
      <c r="U3" s="15">
        <f t="shared" ref="U3:U35" si="5">IF(E3&gt;=2,0,IF(E3=1,5,IF(E3=0,10)))</f>
        <v>10</v>
      </c>
      <c r="V3" s="15">
        <f t="shared" ref="V3:V35" si="6">IF(Q3&lt;0.5,0,IF(Q3&lt;0.75,5,IF(Q3&lt;1,10,IF(Q3&lt;1.2,15,IF(Q3&gt;=1.2,20)))))</f>
        <v>20</v>
      </c>
      <c r="W3" s="15">
        <f t="shared" ref="W3:W35" si="7">IF(N3&lt;25000000,0,IF(N3&lt;50000000,5,IF(N3&lt;100000000,10,IF(N3&gt;=100000000,15))))</f>
        <v>0</v>
      </c>
      <c r="X3" s="15">
        <f t="shared" ref="X3:X35" si="8">IF(R3&lt;0.1,0,IF(R3&lt;0.2,5,IF(R3&lt;0.4,10,IF(R3&lt;0.6,15,IF(R3&gt;=0.6,20)))))</f>
        <v>0</v>
      </c>
      <c r="Y3" s="15">
        <f t="shared" ref="Y3:Y35" si="9">IF(S3&lt;1,0,IF(S3&lt;2,5,IF(S3&gt;=2,10)))</f>
        <v>10</v>
      </c>
      <c r="Z3" s="15">
        <f t="shared" ref="Z3:Z35" si="10">IF(O3&lt;10,0,IF(O3&lt;20,5,IF(O3&gt;=20,10)))</f>
        <v>0</v>
      </c>
      <c r="AA3" s="16">
        <f t="shared" ref="AA3:AA35" si="11">SUM(T3:Z3)</f>
        <v>55</v>
      </c>
      <c r="AB3" s="16" t="str">
        <f t="shared" ref="AB3:AB35" si="12">IF(AA3&lt;30,"Grey",IF(AA3&lt;50,"Red",IF(AA3&lt;70,"Amber",IF(AA3&gt;=70,"Green"))))</f>
        <v>Amber</v>
      </c>
      <c r="AC3" s="1"/>
    </row>
    <row r="4" spans="1:29" ht="33" customHeight="1" thickBot="1" x14ac:dyDescent="0.35">
      <c r="A4" t="s">
        <v>15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19</v>
      </c>
      <c r="J4" s="2">
        <v>2</v>
      </c>
      <c r="K4" s="2">
        <v>1</v>
      </c>
      <c r="L4" s="2">
        <v>0</v>
      </c>
      <c r="M4" s="2">
        <v>8</v>
      </c>
      <c r="N4" s="2">
        <v>1000000</v>
      </c>
      <c r="O4" s="2">
        <v>0</v>
      </c>
      <c r="P4" s="13">
        <f t="shared" si="0"/>
        <v>20</v>
      </c>
      <c r="Q4" s="14">
        <f t="shared" si="1"/>
        <v>6.666666666666667</v>
      </c>
      <c r="R4" s="14">
        <f t="shared" si="2"/>
        <v>0</v>
      </c>
      <c r="S4" s="14">
        <f t="shared" si="3"/>
        <v>2.6666666666666665</v>
      </c>
      <c r="T4" s="15">
        <f t="shared" si="4"/>
        <v>15</v>
      </c>
      <c r="U4" s="15">
        <f t="shared" si="5"/>
        <v>10</v>
      </c>
      <c r="V4" s="15">
        <f t="shared" si="6"/>
        <v>20</v>
      </c>
      <c r="W4" s="15">
        <f t="shared" si="7"/>
        <v>0</v>
      </c>
      <c r="X4" s="15">
        <f t="shared" si="8"/>
        <v>0</v>
      </c>
      <c r="Y4" s="15">
        <f t="shared" si="9"/>
        <v>10</v>
      </c>
      <c r="Z4" s="15">
        <f t="shared" si="10"/>
        <v>0</v>
      </c>
      <c r="AA4" s="16">
        <f t="shared" si="11"/>
        <v>55</v>
      </c>
      <c r="AB4" s="16" t="str">
        <f t="shared" si="12"/>
        <v>Amber</v>
      </c>
      <c r="AC4" s="3"/>
    </row>
    <row r="5" spans="1:29" ht="17.25" customHeight="1" thickBot="1" x14ac:dyDescent="0.35">
      <c r="A5" t="s">
        <v>9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4</v>
      </c>
      <c r="J5" s="2">
        <v>2</v>
      </c>
      <c r="K5" s="2">
        <v>7</v>
      </c>
      <c r="L5" s="2">
        <v>0</v>
      </c>
      <c r="M5" s="2">
        <v>3</v>
      </c>
      <c r="N5" s="2">
        <v>3060000</v>
      </c>
      <c r="O5" s="2">
        <v>0</v>
      </c>
      <c r="P5" s="13">
        <f t="shared" si="0"/>
        <v>5</v>
      </c>
      <c r="Q5" s="14">
        <f t="shared" si="1"/>
        <v>1.6666666666666667</v>
      </c>
      <c r="R5" s="14">
        <f t="shared" si="2"/>
        <v>0</v>
      </c>
      <c r="S5" s="14">
        <f t="shared" si="3"/>
        <v>1</v>
      </c>
      <c r="T5" s="15">
        <f t="shared" si="4"/>
        <v>15</v>
      </c>
      <c r="U5" s="15">
        <f t="shared" si="5"/>
        <v>10</v>
      </c>
      <c r="V5" s="15">
        <f t="shared" si="6"/>
        <v>20</v>
      </c>
      <c r="W5" s="15">
        <f t="shared" si="7"/>
        <v>0</v>
      </c>
      <c r="X5" s="15">
        <f t="shared" si="8"/>
        <v>0</v>
      </c>
      <c r="Y5" s="15">
        <f t="shared" si="9"/>
        <v>5</v>
      </c>
      <c r="Z5" s="15">
        <f t="shared" si="10"/>
        <v>0</v>
      </c>
      <c r="AA5" s="16">
        <f t="shared" si="11"/>
        <v>50</v>
      </c>
      <c r="AB5" s="16" t="str">
        <f t="shared" si="12"/>
        <v>Amber</v>
      </c>
      <c r="AC5" s="2"/>
    </row>
    <row r="6" spans="1:29" ht="17.25" customHeight="1" thickBot="1" x14ac:dyDescent="0.35">
      <c r="A6" t="s">
        <v>16</v>
      </c>
      <c r="C6" s="1">
        <v>3</v>
      </c>
      <c r="D6" s="1">
        <v>0</v>
      </c>
      <c r="E6" s="1">
        <v>0</v>
      </c>
      <c r="F6" s="1">
        <v>0</v>
      </c>
      <c r="G6" s="1">
        <v>0</v>
      </c>
      <c r="H6" s="1">
        <v>2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70000</v>
      </c>
      <c r="O6" s="1">
        <v>5</v>
      </c>
      <c r="P6" s="13">
        <f t="shared" si="0"/>
        <v>3</v>
      </c>
      <c r="Q6" s="14">
        <f t="shared" si="1"/>
        <v>1</v>
      </c>
      <c r="R6" s="14">
        <f t="shared" si="2"/>
        <v>0</v>
      </c>
      <c r="S6" s="14">
        <f t="shared" si="3"/>
        <v>0.33333333333333331</v>
      </c>
      <c r="T6" s="15">
        <f t="shared" si="4"/>
        <v>15</v>
      </c>
      <c r="U6" s="15">
        <f t="shared" si="5"/>
        <v>10</v>
      </c>
      <c r="V6" s="15">
        <f t="shared" si="6"/>
        <v>15</v>
      </c>
      <c r="W6" s="15">
        <f t="shared" si="7"/>
        <v>0</v>
      </c>
      <c r="X6" s="15">
        <f t="shared" si="8"/>
        <v>0</v>
      </c>
      <c r="Y6" s="15">
        <f t="shared" si="9"/>
        <v>0</v>
      </c>
      <c r="Z6" s="15">
        <f t="shared" si="10"/>
        <v>0</v>
      </c>
      <c r="AA6" s="16">
        <f t="shared" si="11"/>
        <v>40</v>
      </c>
      <c r="AB6" s="16" t="str">
        <f t="shared" si="12"/>
        <v>Red</v>
      </c>
      <c r="AC6" s="1"/>
    </row>
    <row r="7" spans="1:29" ht="33" customHeight="1" thickBot="1" x14ac:dyDescent="0.35">
      <c r="A7" t="s">
        <v>13</v>
      </c>
      <c r="C7" s="2">
        <v>2</v>
      </c>
      <c r="D7" s="2">
        <v>0</v>
      </c>
      <c r="E7" s="2">
        <v>0</v>
      </c>
      <c r="F7" s="2">
        <v>0</v>
      </c>
      <c r="G7" s="2">
        <v>1</v>
      </c>
      <c r="H7" s="2">
        <v>2</v>
      </c>
      <c r="I7" s="2">
        <v>2</v>
      </c>
      <c r="J7" s="2">
        <v>14</v>
      </c>
      <c r="K7" s="2">
        <v>14</v>
      </c>
      <c r="L7" s="2">
        <v>0</v>
      </c>
      <c r="M7" s="2">
        <v>3</v>
      </c>
      <c r="N7" s="2">
        <v>3160000</v>
      </c>
      <c r="O7" s="2">
        <v>5</v>
      </c>
      <c r="P7" s="13">
        <f t="shared" si="0"/>
        <v>4</v>
      </c>
      <c r="Q7" s="14">
        <f t="shared" si="1"/>
        <v>1.3333333333333333</v>
      </c>
      <c r="R7" s="14">
        <f t="shared" si="2"/>
        <v>0</v>
      </c>
      <c r="S7" s="14">
        <f t="shared" si="3"/>
        <v>1</v>
      </c>
      <c r="T7" s="15">
        <f t="shared" si="4"/>
        <v>15</v>
      </c>
      <c r="U7" s="15">
        <f t="shared" si="5"/>
        <v>10</v>
      </c>
      <c r="V7" s="15">
        <f t="shared" si="6"/>
        <v>20</v>
      </c>
      <c r="W7" s="15">
        <f t="shared" si="7"/>
        <v>0</v>
      </c>
      <c r="X7" s="15">
        <f t="shared" si="8"/>
        <v>0</v>
      </c>
      <c r="Y7" s="15">
        <f t="shared" si="9"/>
        <v>5</v>
      </c>
      <c r="Z7" s="15">
        <f t="shared" si="10"/>
        <v>0</v>
      </c>
      <c r="AA7" s="16">
        <f t="shared" si="11"/>
        <v>50</v>
      </c>
      <c r="AB7" s="16" t="str">
        <f t="shared" si="12"/>
        <v>Amber</v>
      </c>
      <c r="AC7" s="2"/>
    </row>
    <row r="8" spans="1:29" ht="33" customHeight="1" thickBot="1" x14ac:dyDescent="0.35">
      <c r="A8" t="s">
        <v>12</v>
      </c>
      <c r="C8" s="1">
        <v>2</v>
      </c>
      <c r="D8" s="1">
        <v>0</v>
      </c>
      <c r="E8" s="1">
        <v>1</v>
      </c>
      <c r="F8" s="1">
        <v>0</v>
      </c>
      <c r="G8" s="1">
        <v>0</v>
      </c>
      <c r="H8" s="1">
        <v>2</v>
      </c>
      <c r="I8" s="1">
        <v>4</v>
      </c>
      <c r="J8" s="1">
        <v>0</v>
      </c>
      <c r="K8" s="1">
        <v>1</v>
      </c>
      <c r="L8" s="1">
        <v>0</v>
      </c>
      <c r="M8" s="1">
        <v>4</v>
      </c>
      <c r="N8" s="1">
        <v>2200000</v>
      </c>
      <c r="O8" s="1">
        <v>2</v>
      </c>
      <c r="P8" s="13">
        <f t="shared" si="0"/>
        <v>6</v>
      </c>
      <c r="Q8" s="14">
        <f t="shared" si="1"/>
        <v>2</v>
      </c>
      <c r="R8" s="14">
        <f t="shared" si="2"/>
        <v>0</v>
      </c>
      <c r="S8" s="14">
        <f t="shared" si="3"/>
        <v>1.3333333333333333</v>
      </c>
      <c r="T8" s="15">
        <f t="shared" si="4"/>
        <v>15</v>
      </c>
      <c r="U8" s="15">
        <f t="shared" si="5"/>
        <v>5</v>
      </c>
      <c r="V8" s="15">
        <f t="shared" si="6"/>
        <v>20</v>
      </c>
      <c r="W8" s="15">
        <f t="shared" si="7"/>
        <v>0</v>
      </c>
      <c r="X8" s="15">
        <f t="shared" si="8"/>
        <v>0</v>
      </c>
      <c r="Y8" s="15">
        <f t="shared" si="9"/>
        <v>5</v>
      </c>
      <c r="Z8" s="15">
        <f t="shared" si="10"/>
        <v>0</v>
      </c>
      <c r="AA8" s="16">
        <f t="shared" si="11"/>
        <v>45</v>
      </c>
      <c r="AB8" s="16" t="str">
        <f t="shared" si="12"/>
        <v>Red</v>
      </c>
      <c r="AC8" s="2"/>
    </row>
    <row r="9" spans="1:29" ht="17.25" customHeight="1" thickBot="1" x14ac:dyDescent="0.35">
      <c r="A9" t="s">
        <v>11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3</v>
      </c>
      <c r="N9" s="2">
        <v>370000</v>
      </c>
      <c r="O9" s="2">
        <v>0</v>
      </c>
      <c r="P9" s="13">
        <f t="shared" si="0"/>
        <v>2</v>
      </c>
      <c r="Q9" s="14">
        <f t="shared" si="1"/>
        <v>0.66666666666666663</v>
      </c>
      <c r="R9" s="14">
        <f t="shared" si="2"/>
        <v>0</v>
      </c>
      <c r="S9" s="14">
        <f t="shared" si="3"/>
        <v>1</v>
      </c>
      <c r="T9" s="15">
        <f t="shared" si="4"/>
        <v>15</v>
      </c>
      <c r="U9" s="15">
        <f t="shared" si="5"/>
        <v>10</v>
      </c>
      <c r="V9" s="15">
        <f t="shared" si="6"/>
        <v>5</v>
      </c>
      <c r="W9" s="15">
        <f t="shared" si="7"/>
        <v>0</v>
      </c>
      <c r="X9" s="15">
        <f t="shared" si="8"/>
        <v>0</v>
      </c>
      <c r="Y9" s="15">
        <f t="shared" si="9"/>
        <v>5</v>
      </c>
      <c r="Z9" s="15">
        <f t="shared" si="10"/>
        <v>0</v>
      </c>
      <c r="AA9" s="16">
        <f t="shared" si="11"/>
        <v>35</v>
      </c>
      <c r="AB9" s="16" t="str">
        <f t="shared" si="12"/>
        <v>Red</v>
      </c>
      <c r="AC9" s="1"/>
    </row>
    <row r="10" spans="1:29" ht="17.25" customHeight="1" thickBot="1" x14ac:dyDescent="0.35">
      <c r="A10" t="s">
        <v>10</v>
      </c>
      <c r="C10" s="1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3</v>
      </c>
      <c r="J10" s="1">
        <v>1</v>
      </c>
      <c r="K10" s="1">
        <v>5</v>
      </c>
      <c r="L10" s="1">
        <v>0</v>
      </c>
      <c r="M10" s="1">
        <v>4</v>
      </c>
      <c r="N10" s="1">
        <v>6800000</v>
      </c>
      <c r="O10" s="1">
        <v>0</v>
      </c>
      <c r="P10" s="13">
        <f t="shared" si="0"/>
        <v>3</v>
      </c>
      <c r="Q10" s="14">
        <f t="shared" si="1"/>
        <v>1</v>
      </c>
      <c r="R10" s="14">
        <f t="shared" si="2"/>
        <v>0</v>
      </c>
      <c r="S10" s="14">
        <f t="shared" si="3"/>
        <v>1.3333333333333333</v>
      </c>
      <c r="T10" s="15">
        <f t="shared" si="4"/>
        <v>15</v>
      </c>
      <c r="U10" s="15">
        <f t="shared" si="5"/>
        <v>10</v>
      </c>
      <c r="V10" s="15">
        <f t="shared" si="6"/>
        <v>15</v>
      </c>
      <c r="W10" s="15">
        <f t="shared" si="7"/>
        <v>0</v>
      </c>
      <c r="X10" s="15">
        <f t="shared" si="8"/>
        <v>0</v>
      </c>
      <c r="Y10" s="15">
        <f t="shared" si="9"/>
        <v>5</v>
      </c>
      <c r="Z10" s="15">
        <f t="shared" si="10"/>
        <v>0</v>
      </c>
      <c r="AA10" s="16">
        <f t="shared" si="11"/>
        <v>45</v>
      </c>
      <c r="AB10" s="16" t="str">
        <f t="shared" si="12"/>
        <v>Red</v>
      </c>
      <c r="AC10" s="1"/>
    </row>
    <row r="11" spans="1:29" ht="33" customHeight="1" thickBot="1" x14ac:dyDescent="0.35">
      <c r="A11" t="s">
        <v>14</v>
      </c>
      <c r="C11" s="1">
        <v>3</v>
      </c>
      <c r="D11" s="1">
        <v>0</v>
      </c>
      <c r="E11" s="1">
        <v>0</v>
      </c>
      <c r="F11" s="1">
        <v>0</v>
      </c>
      <c r="G11" s="1">
        <v>0</v>
      </c>
      <c r="H11" s="1">
        <v>3</v>
      </c>
      <c r="I11" s="1">
        <v>1</v>
      </c>
      <c r="J11" s="1">
        <v>1</v>
      </c>
      <c r="K11" s="1">
        <v>4</v>
      </c>
      <c r="L11" s="1">
        <v>0</v>
      </c>
      <c r="M11" s="1">
        <v>5</v>
      </c>
      <c r="N11" s="1">
        <v>616500</v>
      </c>
      <c r="O11" s="1">
        <v>1</v>
      </c>
      <c r="P11" s="13">
        <f t="shared" si="0"/>
        <v>4</v>
      </c>
      <c r="Q11" s="14">
        <f t="shared" si="1"/>
        <v>1.3333333333333333</v>
      </c>
      <c r="R11" s="14">
        <f t="shared" si="2"/>
        <v>0</v>
      </c>
      <c r="S11" s="14">
        <f t="shared" si="3"/>
        <v>1.6666666666666667</v>
      </c>
      <c r="T11" s="15">
        <f t="shared" si="4"/>
        <v>15</v>
      </c>
      <c r="U11" s="15">
        <f t="shared" si="5"/>
        <v>10</v>
      </c>
      <c r="V11" s="15">
        <f t="shared" si="6"/>
        <v>20</v>
      </c>
      <c r="W11" s="15">
        <f t="shared" si="7"/>
        <v>0</v>
      </c>
      <c r="X11" s="15">
        <f t="shared" si="8"/>
        <v>0</v>
      </c>
      <c r="Y11" s="15">
        <f t="shared" si="9"/>
        <v>5</v>
      </c>
      <c r="Z11" s="15">
        <f t="shared" si="10"/>
        <v>0</v>
      </c>
      <c r="AA11" s="16">
        <f t="shared" si="11"/>
        <v>50</v>
      </c>
      <c r="AB11" s="16" t="str">
        <f t="shared" si="12"/>
        <v>Amber</v>
      </c>
      <c r="AC11" s="2"/>
    </row>
    <row r="12" spans="1:29" ht="33" customHeight="1" thickBot="1" x14ac:dyDescent="0.35">
      <c r="A12" t="s">
        <v>25</v>
      </c>
      <c r="C12" s="2">
        <v>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</v>
      </c>
      <c r="N12" s="2">
        <v>600000</v>
      </c>
      <c r="O12" s="2">
        <v>0</v>
      </c>
      <c r="P12" s="13">
        <f t="shared" si="0"/>
        <v>0</v>
      </c>
      <c r="Q12" s="14">
        <f t="shared" si="1"/>
        <v>0</v>
      </c>
      <c r="R12" s="14">
        <f t="shared" si="2"/>
        <v>0</v>
      </c>
      <c r="S12" s="14">
        <f t="shared" si="3"/>
        <v>1</v>
      </c>
      <c r="T12" s="15">
        <f t="shared" si="4"/>
        <v>15</v>
      </c>
      <c r="U12" s="15">
        <f t="shared" si="5"/>
        <v>10</v>
      </c>
      <c r="V12" s="15">
        <f t="shared" si="6"/>
        <v>0</v>
      </c>
      <c r="W12" s="15">
        <f t="shared" si="7"/>
        <v>0</v>
      </c>
      <c r="X12" s="15">
        <f t="shared" si="8"/>
        <v>0</v>
      </c>
      <c r="Y12" s="15">
        <f t="shared" si="9"/>
        <v>5</v>
      </c>
      <c r="Z12" s="15">
        <f t="shared" si="10"/>
        <v>0</v>
      </c>
      <c r="AA12" s="16">
        <f t="shared" si="11"/>
        <v>30</v>
      </c>
      <c r="AB12" s="16" t="str">
        <f t="shared" si="12"/>
        <v>Red</v>
      </c>
      <c r="AC12" s="2"/>
    </row>
    <row r="13" spans="1:29" ht="33" customHeight="1" thickBot="1" x14ac:dyDescent="0.35">
      <c r="A13" t="s">
        <v>28</v>
      </c>
      <c r="C13" s="1">
        <v>2</v>
      </c>
      <c r="D13" s="1">
        <v>1</v>
      </c>
      <c r="E13" s="1">
        <v>0</v>
      </c>
      <c r="F13" s="1">
        <v>0</v>
      </c>
      <c r="G13" s="1">
        <v>0</v>
      </c>
      <c r="H13" s="1">
        <v>2</v>
      </c>
      <c r="I13" s="1">
        <v>0</v>
      </c>
      <c r="J13" s="1">
        <v>0</v>
      </c>
      <c r="K13" s="1">
        <v>4</v>
      </c>
      <c r="L13" s="1">
        <v>1</v>
      </c>
      <c r="M13" s="1">
        <v>2</v>
      </c>
      <c r="N13" s="1">
        <v>200000</v>
      </c>
      <c r="O13" s="1">
        <v>1</v>
      </c>
      <c r="P13" s="13">
        <f t="shared" si="0"/>
        <v>2</v>
      </c>
      <c r="Q13" s="14">
        <f t="shared" si="1"/>
        <v>0.66666666666666663</v>
      </c>
      <c r="R13" s="14">
        <f t="shared" si="2"/>
        <v>0.33333333333333331</v>
      </c>
      <c r="S13" s="14">
        <f t="shared" si="3"/>
        <v>0.66666666666666663</v>
      </c>
      <c r="T13" s="15">
        <f t="shared" si="4"/>
        <v>10</v>
      </c>
      <c r="U13" s="15">
        <f t="shared" si="5"/>
        <v>10</v>
      </c>
      <c r="V13" s="15">
        <f t="shared" si="6"/>
        <v>5</v>
      </c>
      <c r="W13" s="15">
        <f t="shared" si="7"/>
        <v>0</v>
      </c>
      <c r="X13" s="15">
        <f t="shared" si="8"/>
        <v>10</v>
      </c>
      <c r="Y13" s="15">
        <f t="shared" si="9"/>
        <v>0</v>
      </c>
      <c r="Z13" s="15">
        <f t="shared" si="10"/>
        <v>0</v>
      </c>
      <c r="AA13" s="16">
        <f t="shared" si="11"/>
        <v>35</v>
      </c>
      <c r="AB13" s="16" t="str">
        <f t="shared" si="12"/>
        <v>Red</v>
      </c>
      <c r="AC13" s="2"/>
    </row>
    <row r="14" spans="1:29" ht="17.25" customHeight="1" thickBot="1" x14ac:dyDescent="0.35">
      <c r="A14" t="s">
        <v>27</v>
      </c>
      <c r="C14" s="2">
        <v>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9</v>
      </c>
      <c r="N14" s="2">
        <v>0</v>
      </c>
      <c r="O14" s="2">
        <v>0</v>
      </c>
      <c r="P14" s="13">
        <f t="shared" si="0"/>
        <v>0</v>
      </c>
      <c r="Q14" s="14">
        <f t="shared" si="1"/>
        <v>0</v>
      </c>
      <c r="R14" s="14">
        <f t="shared" si="2"/>
        <v>0</v>
      </c>
      <c r="S14" s="14">
        <f t="shared" si="3"/>
        <v>3</v>
      </c>
      <c r="T14" s="15">
        <f t="shared" si="4"/>
        <v>15</v>
      </c>
      <c r="U14" s="15">
        <f t="shared" si="5"/>
        <v>10</v>
      </c>
      <c r="V14" s="15">
        <f t="shared" si="6"/>
        <v>0</v>
      </c>
      <c r="W14" s="15">
        <f t="shared" si="7"/>
        <v>0</v>
      </c>
      <c r="X14" s="15">
        <f t="shared" si="8"/>
        <v>0</v>
      </c>
      <c r="Y14" s="15">
        <f t="shared" si="9"/>
        <v>10</v>
      </c>
      <c r="Z14" s="15">
        <f t="shared" si="10"/>
        <v>0</v>
      </c>
      <c r="AA14" s="16">
        <f t="shared" si="11"/>
        <v>35</v>
      </c>
      <c r="AB14" s="16" t="str">
        <f t="shared" si="12"/>
        <v>Red</v>
      </c>
      <c r="AC14" s="2"/>
    </row>
    <row r="15" spans="1:29" ht="17.25" customHeight="1" thickBot="1" x14ac:dyDescent="0.35">
      <c r="A15" t="s">
        <v>26</v>
      </c>
      <c r="C15" s="1">
        <v>3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3</v>
      </c>
      <c r="J15" s="1">
        <v>0</v>
      </c>
      <c r="K15" s="1">
        <v>17</v>
      </c>
      <c r="L15" s="1">
        <v>1</v>
      </c>
      <c r="M15" s="1">
        <v>2</v>
      </c>
      <c r="N15" s="1">
        <v>260000</v>
      </c>
      <c r="O15" s="1">
        <v>5</v>
      </c>
      <c r="P15" s="13">
        <f t="shared" si="0"/>
        <v>4</v>
      </c>
      <c r="Q15" s="14">
        <f t="shared" si="1"/>
        <v>1.3333333333333333</v>
      </c>
      <c r="R15" s="14">
        <f t="shared" si="2"/>
        <v>0.33333333333333331</v>
      </c>
      <c r="S15" s="14">
        <f t="shared" si="3"/>
        <v>0.66666666666666663</v>
      </c>
      <c r="T15" s="15">
        <f t="shared" si="4"/>
        <v>15</v>
      </c>
      <c r="U15" s="15">
        <f t="shared" si="5"/>
        <v>10</v>
      </c>
      <c r="V15" s="15">
        <f t="shared" si="6"/>
        <v>20</v>
      </c>
      <c r="W15" s="15">
        <f t="shared" si="7"/>
        <v>0</v>
      </c>
      <c r="X15" s="15">
        <f t="shared" si="8"/>
        <v>10</v>
      </c>
      <c r="Y15" s="15">
        <f t="shared" si="9"/>
        <v>0</v>
      </c>
      <c r="Z15" s="15">
        <f t="shared" si="10"/>
        <v>0</v>
      </c>
      <c r="AA15" s="16">
        <f t="shared" si="11"/>
        <v>55</v>
      </c>
      <c r="AB15" s="16" t="str">
        <f t="shared" si="12"/>
        <v>Amber</v>
      </c>
      <c r="AC15" s="2"/>
    </row>
    <row r="16" spans="1:29" ht="17.25" customHeight="1" thickBot="1" x14ac:dyDescent="0.35">
      <c r="A16" t="s">
        <v>31</v>
      </c>
      <c r="C16" s="2">
        <v>3</v>
      </c>
      <c r="D16" s="2">
        <v>0</v>
      </c>
      <c r="E16" s="2">
        <v>0</v>
      </c>
      <c r="F16" s="2">
        <v>0</v>
      </c>
      <c r="G16" s="2">
        <v>0</v>
      </c>
      <c r="H16" s="2">
        <v>3</v>
      </c>
      <c r="I16" s="2">
        <v>6</v>
      </c>
      <c r="J16" s="2">
        <v>0</v>
      </c>
      <c r="K16" s="2">
        <v>0</v>
      </c>
      <c r="L16" s="2">
        <v>1</v>
      </c>
      <c r="M16" s="2">
        <v>5</v>
      </c>
      <c r="N16" s="2">
        <v>2515000</v>
      </c>
      <c r="O16" s="2">
        <v>6</v>
      </c>
      <c r="P16" s="13">
        <f t="shared" si="0"/>
        <v>9</v>
      </c>
      <c r="Q16" s="14">
        <f t="shared" si="1"/>
        <v>3</v>
      </c>
      <c r="R16" s="14">
        <f t="shared" si="2"/>
        <v>0.33333333333333331</v>
      </c>
      <c r="S16" s="14">
        <f t="shared" si="3"/>
        <v>1.6666666666666667</v>
      </c>
      <c r="T16" s="15">
        <f t="shared" si="4"/>
        <v>15</v>
      </c>
      <c r="U16" s="15">
        <f t="shared" si="5"/>
        <v>10</v>
      </c>
      <c r="V16" s="15">
        <f t="shared" si="6"/>
        <v>20</v>
      </c>
      <c r="W16" s="15">
        <f t="shared" si="7"/>
        <v>0</v>
      </c>
      <c r="X16" s="15">
        <f t="shared" si="8"/>
        <v>10</v>
      </c>
      <c r="Y16" s="15">
        <f t="shared" si="9"/>
        <v>5</v>
      </c>
      <c r="Z16" s="15">
        <f t="shared" si="10"/>
        <v>0</v>
      </c>
      <c r="AA16" s="16">
        <f t="shared" si="11"/>
        <v>60</v>
      </c>
      <c r="AB16" s="16" t="str">
        <f t="shared" si="12"/>
        <v>Amber</v>
      </c>
      <c r="AC16" s="1"/>
    </row>
    <row r="17" spans="1:29" ht="17.25" customHeight="1" thickBot="1" x14ac:dyDescent="0.35">
      <c r="A17" t="s">
        <v>29</v>
      </c>
      <c r="C17" s="2">
        <v>3</v>
      </c>
      <c r="D17" s="2">
        <v>0</v>
      </c>
      <c r="E17" s="2">
        <v>0</v>
      </c>
      <c r="F17" s="2">
        <v>0</v>
      </c>
      <c r="G17" s="2">
        <v>0</v>
      </c>
      <c r="H17" s="2">
        <v>2</v>
      </c>
      <c r="I17" s="2">
        <v>2</v>
      </c>
      <c r="J17" s="2">
        <v>2</v>
      </c>
      <c r="K17" s="2">
        <v>8</v>
      </c>
      <c r="L17" s="2">
        <v>1</v>
      </c>
      <c r="M17" s="2">
        <v>4</v>
      </c>
      <c r="N17" s="2">
        <v>1847100</v>
      </c>
      <c r="O17" s="2">
        <v>9</v>
      </c>
      <c r="P17" s="13">
        <f t="shared" si="0"/>
        <v>4</v>
      </c>
      <c r="Q17" s="14">
        <f t="shared" si="1"/>
        <v>1.3333333333333333</v>
      </c>
      <c r="R17" s="14">
        <f t="shared" si="2"/>
        <v>0.33333333333333331</v>
      </c>
      <c r="S17" s="14">
        <f t="shared" si="3"/>
        <v>1.3333333333333333</v>
      </c>
      <c r="T17" s="15">
        <f t="shared" si="4"/>
        <v>15</v>
      </c>
      <c r="U17" s="15">
        <f t="shared" si="5"/>
        <v>10</v>
      </c>
      <c r="V17" s="15">
        <f t="shared" si="6"/>
        <v>20</v>
      </c>
      <c r="W17" s="15">
        <f t="shared" si="7"/>
        <v>0</v>
      </c>
      <c r="X17" s="15">
        <f t="shared" si="8"/>
        <v>10</v>
      </c>
      <c r="Y17" s="15">
        <f t="shared" si="9"/>
        <v>5</v>
      </c>
      <c r="Z17" s="15">
        <f t="shared" si="10"/>
        <v>0</v>
      </c>
      <c r="AA17" s="16">
        <f t="shared" si="11"/>
        <v>60</v>
      </c>
      <c r="AB17" s="16" t="str">
        <f t="shared" si="12"/>
        <v>Amber</v>
      </c>
      <c r="AC17" s="1"/>
    </row>
    <row r="18" spans="1:29" ht="33" customHeight="1" thickBot="1" x14ac:dyDescent="0.35">
      <c r="A18" t="s">
        <v>30</v>
      </c>
      <c r="C18" s="1">
        <v>3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3</v>
      </c>
      <c r="K18" s="1">
        <v>2</v>
      </c>
      <c r="L18" s="1">
        <v>0</v>
      </c>
      <c r="M18" s="1">
        <v>7</v>
      </c>
      <c r="N18" s="1">
        <v>500000</v>
      </c>
      <c r="O18" s="1">
        <v>0</v>
      </c>
      <c r="P18" s="13">
        <f t="shared" si="0"/>
        <v>2</v>
      </c>
      <c r="Q18" s="14">
        <f t="shared" si="1"/>
        <v>0.66666666666666663</v>
      </c>
      <c r="R18" s="14">
        <f t="shared" si="2"/>
        <v>0</v>
      </c>
      <c r="S18" s="14">
        <f t="shared" si="3"/>
        <v>2.3333333333333335</v>
      </c>
      <c r="T18" s="15">
        <f t="shared" si="4"/>
        <v>15</v>
      </c>
      <c r="U18" s="15">
        <f t="shared" si="5"/>
        <v>10</v>
      </c>
      <c r="V18" s="15">
        <f t="shared" si="6"/>
        <v>5</v>
      </c>
      <c r="W18" s="15">
        <f t="shared" si="7"/>
        <v>0</v>
      </c>
      <c r="X18" s="15">
        <f t="shared" si="8"/>
        <v>0</v>
      </c>
      <c r="Y18" s="15">
        <f t="shared" si="9"/>
        <v>10</v>
      </c>
      <c r="Z18" s="15">
        <f t="shared" si="10"/>
        <v>0</v>
      </c>
      <c r="AA18" s="16">
        <f t="shared" si="11"/>
        <v>40</v>
      </c>
      <c r="AB18" s="16" t="str">
        <f t="shared" si="12"/>
        <v>Red</v>
      </c>
      <c r="AC18" s="2"/>
    </row>
    <row r="19" spans="1:29" ht="17.25" customHeight="1" thickBot="1" x14ac:dyDescent="0.35">
      <c r="A19" t="s">
        <v>32</v>
      </c>
      <c r="C19" s="3">
        <v>2</v>
      </c>
      <c r="D19" s="3">
        <v>0</v>
      </c>
      <c r="E19" s="3">
        <v>0</v>
      </c>
      <c r="F19" s="3">
        <v>0</v>
      </c>
      <c r="G19" s="3">
        <v>1</v>
      </c>
      <c r="H19" s="3">
        <v>3</v>
      </c>
      <c r="I19" s="3">
        <v>2</v>
      </c>
      <c r="J19" s="3">
        <v>11</v>
      </c>
      <c r="K19" s="3">
        <v>8</v>
      </c>
      <c r="L19" s="3">
        <v>0</v>
      </c>
      <c r="M19" s="3">
        <v>5</v>
      </c>
      <c r="N19" s="3">
        <v>2297200</v>
      </c>
      <c r="O19" s="3">
        <v>13</v>
      </c>
      <c r="P19" s="13">
        <f t="shared" si="0"/>
        <v>5</v>
      </c>
      <c r="Q19" s="14">
        <f t="shared" si="1"/>
        <v>1.6666666666666667</v>
      </c>
      <c r="R19" s="14">
        <f t="shared" si="2"/>
        <v>0</v>
      </c>
      <c r="S19" s="14">
        <f t="shared" si="3"/>
        <v>1.6666666666666667</v>
      </c>
      <c r="T19" s="15">
        <f t="shared" si="4"/>
        <v>15</v>
      </c>
      <c r="U19" s="15">
        <f t="shared" si="5"/>
        <v>10</v>
      </c>
      <c r="V19" s="15">
        <f t="shared" si="6"/>
        <v>20</v>
      </c>
      <c r="W19" s="15">
        <f t="shared" si="7"/>
        <v>0</v>
      </c>
      <c r="X19" s="15">
        <f t="shared" si="8"/>
        <v>0</v>
      </c>
      <c r="Y19" s="15">
        <f t="shared" si="9"/>
        <v>5</v>
      </c>
      <c r="Z19" s="15">
        <f t="shared" si="10"/>
        <v>5</v>
      </c>
      <c r="AA19" s="16">
        <f t="shared" si="11"/>
        <v>55</v>
      </c>
      <c r="AB19" s="16" t="str">
        <f t="shared" si="12"/>
        <v>Amber</v>
      </c>
      <c r="AC19" s="2"/>
    </row>
    <row r="20" spans="1:29" ht="17.25" customHeight="1" thickBot="1" x14ac:dyDescent="0.35">
      <c r="A20" t="s">
        <v>18</v>
      </c>
      <c r="C20" s="1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2</v>
      </c>
      <c r="L20" s="1">
        <v>0</v>
      </c>
      <c r="M20" s="1">
        <v>2</v>
      </c>
      <c r="N20" s="1">
        <v>970000</v>
      </c>
      <c r="O20" s="1">
        <v>0</v>
      </c>
      <c r="P20" s="13">
        <f t="shared" si="0"/>
        <v>1</v>
      </c>
      <c r="Q20" s="14">
        <f t="shared" si="1"/>
        <v>0.33333333333333331</v>
      </c>
      <c r="R20" s="14">
        <f t="shared" si="2"/>
        <v>0</v>
      </c>
      <c r="S20" s="14">
        <f t="shared" si="3"/>
        <v>0.66666666666666663</v>
      </c>
      <c r="T20" s="15">
        <f t="shared" si="4"/>
        <v>15</v>
      </c>
      <c r="U20" s="15">
        <f t="shared" si="5"/>
        <v>10</v>
      </c>
      <c r="V20" s="15">
        <f t="shared" si="6"/>
        <v>0</v>
      </c>
      <c r="W20" s="15">
        <f t="shared" si="7"/>
        <v>0</v>
      </c>
      <c r="X20" s="15">
        <f t="shared" si="8"/>
        <v>0</v>
      </c>
      <c r="Y20" s="15">
        <f t="shared" si="9"/>
        <v>0</v>
      </c>
      <c r="Z20" s="15">
        <f t="shared" si="10"/>
        <v>0</v>
      </c>
      <c r="AA20" s="16">
        <f t="shared" si="11"/>
        <v>25</v>
      </c>
      <c r="AB20" s="16" t="str">
        <f t="shared" si="12"/>
        <v>Grey</v>
      </c>
      <c r="AC20" s="1"/>
    </row>
    <row r="21" spans="1:29" ht="17.25" customHeight="1" thickBot="1" x14ac:dyDescent="0.35">
      <c r="A21" t="s">
        <v>22</v>
      </c>
      <c r="C21" s="1">
        <v>3</v>
      </c>
      <c r="D21" s="1">
        <v>0</v>
      </c>
      <c r="E21" s="1">
        <v>0</v>
      </c>
      <c r="F21" s="1">
        <v>0</v>
      </c>
      <c r="G21" s="1">
        <v>0</v>
      </c>
      <c r="H21" s="1">
        <v>3</v>
      </c>
      <c r="I21" s="1">
        <v>4</v>
      </c>
      <c r="J21" s="1">
        <v>0</v>
      </c>
      <c r="K21" s="1">
        <v>1</v>
      </c>
      <c r="L21" s="1">
        <v>0</v>
      </c>
      <c r="M21" s="1">
        <v>10</v>
      </c>
      <c r="N21" s="1">
        <v>78450000</v>
      </c>
      <c r="O21" s="1">
        <v>2</v>
      </c>
      <c r="P21" s="13">
        <f t="shared" si="0"/>
        <v>7</v>
      </c>
      <c r="Q21" s="14">
        <f t="shared" si="1"/>
        <v>2.3333333333333335</v>
      </c>
      <c r="R21" s="14">
        <f t="shared" si="2"/>
        <v>0</v>
      </c>
      <c r="S21" s="14">
        <f t="shared" si="3"/>
        <v>3.3333333333333335</v>
      </c>
      <c r="T21" s="15">
        <f t="shared" si="4"/>
        <v>15</v>
      </c>
      <c r="U21" s="15">
        <f t="shared" si="5"/>
        <v>10</v>
      </c>
      <c r="V21" s="15">
        <f t="shared" si="6"/>
        <v>20</v>
      </c>
      <c r="W21" s="15">
        <f t="shared" si="7"/>
        <v>10</v>
      </c>
      <c r="X21" s="15">
        <f t="shared" si="8"/>
        <v>0</v>
      </c>
      <c r="Y21" s="15">
        <f t="shared" si="9"/>
        <v>10</v>
      </c>
      <c r="Z21" s="15">
        <f t="shared" si="10"/>
        <v>0</v>
      </c>
      <c r="AA21" s="16">
        <f t="shared" si="11"/>
        <v>65</v>
      </c>
      <c r="AB21" s="16" t="str">
        <f t="shared" si="12"/>
        <v>Amber</v>
      </c>
      <c r="AC21" s="2"/>
    </row>
    <row r="22" spans="1:29" ht="17.25" customHeight="1" thickBot="1" x14ac:dyDescent="0.35">
      <c r="A22" t="s">
        <v>19</v>
      </c>
      <c r="C22" s="2">
        <v>3</v>
      </c>
      <c r="D22" s="2">
        <v>0</v>
      </c>
      <c r="E22" s="2">
        <v>0</v>
      </c>
      <c r="F22" s="2">
        <v>0</v>
      </c>
      <c r="G22" s="2">
        <v>0</v>
      </c>
      <c r="H22" s="2">
        <v>5</v>
      </c>
      <c r="I22" s="2">
        <v>1</v>
      </c>
      <c r="J22" s="2">
        <v>0</v>
      </c>
      <c r="K22" s="2">
        <v>1</v>
      </c>
      <c r="L22" s="2">
        <v>0</v>
      </c>
      <c r="M22" s="2">
        <v>10</v>
      </c>
      <c r="N22" s="2">
        <v>730000</v>
      </c>
      <c r="O22" s="2">
        <v>9</v>
      </c>
      <c r="P22" s="13">
        <f t="shared" si="0"/>
        <v>6</v>
      </c>
      <c r="Q22" s="14">
        <f t="shared" si="1"/>
        <v>2</v>
      </c>
      <c r="R22" s="14">
        <f t="shared" si="2"/>
        <v>0</v>
      </c>
      <c r="S22" s="14">
        <f t="shared" si="3"/>
        <v>3.3333333333333335</v>
      </c>
      <c r="T22" s="15">
        <f t="shared" si="4"/>
        <v>15</v>
      </c>
      <c r="U22" s="15">
        <f t="shared" si="5"/>
        <v>10</v>
      </c>
      <c r="V22" s="15">
        <f t="shared" si="6"/>
        <v>20</v>
      </c>
      <c r="W22" s="15">
        <f t="shared" si="7"/>
        <v>0</v>
      </c>
      <c r="X22" s="15">
        <f t="shared" si="8"/>
        <v>0</v>
      </c>
      <c r="Y22" s="15">
        <f t="shared" si="9"/>
        <v>10</v>
      </c>
      <c r="Z22" s="15">
        <f t="shared" si="10"/>
        <v>0</v>
      </c>
      <c r="AA22" s="16">
        <f t="shared" si="11"/>
        <v>55</v>
      </c>
      <c r="AB22" s="16" t="str">
        <f t="shared" si="12"/>
        <v>Amber</v>
      </c>
      <c r="AC22" s="1"/>
    </row>
    <row r="23" spans="1:29" ht="33" customHeight="1" thickBot="1" x14ac:dyDescent="0.35">
      <c r="A23" t="s">
        <v>20</v>
      </c>
      <c r="C23" s="1">
        <v>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2</v>
      </c>
      <c r="L23" s="1">
        <v>0</v>
      </c>
      <c r="M23" s="1">
        <v>5</v>
      </c>
      <c r="N23" s="1">
        <v>0</v>
      </c>
      <c r="O23" s="1">
        <v>0</v>
      </c>
      <c r="P23" s="13">
        <f t="shared" si="0"/>
        <v>0</v>
      </c>
      <c r="Q23" s="14">
        <f t="shared" si="1"/>
        <v>0</v>
      </c>
      <c r="R23" s="14">
        <f t="shared" si="2"/>
        <v>0</v>
      </c>
      <c r="S23" s="14">
        <f t="shared" si="3"/>
        <v>1.6666666666666667</v>
      </c>
      <c r="T23" s="15">
        <f t="shared" si="4"/>
        <v>15</v>
      </c>
      <c r="U23" s="15">
        <f t="shared" si="5"/>
        <v>10</v>
      </c>
      <c r="V23" s="15">
        <f t="shared" si="6"/>
        <v>0</v>
      </c>
      <c r="W23" s="15">
        <f t="shared" si="7"/>
        <v>0</v>
      </c>
      <c r="X23" s="15">
        <f t="shared" si="8"/>
        <v>0</v>
      </c>
      <c r="Y23" s="15">
        <f t="shared" si="9"/>
        <v>5</v>
      </c>
      <c r="Z23" s="15">
        <f t="shared" si="10"/>
        <v>0</v>
      </c>
      <c r="AA23" s="16">
        <f t="shared" si="11"/>
        <v>30</v>
      </c>
      <c r="AB23" s="16" t="str">
        <f t="shared" si="12"/>
        <v>Red</v>
      </c>
      <c r="AC23" s="2"/>
    </row>
    <row r="24" spans="1:29" ht="17.25" customHeight="1" thickBot="1" x14ac:dyDescent="0.35">
      <c r="A24" t="s">
        <v>21</v>
      </c>
      <c r="C24" s="2">
        <v>3</v>
      </c>
      <c r="D24" s="2">
        <v>0</v>
      </c>
      <c r="E24" s="2">
        <v>0</v>
      </c>
      <c r="F24" s="2">
        <v>0</v>
      </c>
      <c r="G24" s="2">
        <v>0</v>
      </c>
      <c r="H24" s="2">
        <v>2</v>
      </c>
      <c r="I24" s="2">
        <v>9</v>
      </c>
      <c r="J24" s="2">
        <v>3</v>
      </c>
      <c r="K24" s="2">
        <v>5</v>
      </c>
      <c r="L24" s="2">
        <v>0</v>
      </c>
      <c r="M24" s="2">
        <v>16</v>
      </c>
      <c r="N24" s="2">
        <v>720000</v>
      </c>
      <c r="O24" s="2">
        <v>0</v>
      </c>
      <c r="P24" s="13">
        <f t="shared" si="0"/>
        <v>11</v>
      </c>
      <c r="Q24" s="14">
        <f t="shared" si="1"/>
        <v>3.6666666666666665</v>
      </c>
      <c r="R24" s="14">
        <f t="shared" si="2"/>
        <v>0</v>
      </c>
      <c r="S24" s="14">
        <f t="shared" si="3"/>
        <v>5.333333333333333</v>
      </c>
      <c r="T24" s="15">
        <f t="shared" si="4"/>
        <v>15</v>
      </c>
      <c r="U24" s="15">
        <f t="shared" si="5"/>
        <v>10</v>
      </c>
      <c r="V24" s="15">
        <f t="shared" si="6"/>
        <v>20</v>
      </c>
      <c r="W24" s="15">
        <f t="shared" si="7"/>
        <v>0</v>
      </c>
      <c r="X24" s="15">
        <f t="shared" si="8"/>
        <v>0</v>
      </c>
      <c r="Y24" s="15">
        <f t="shared" si="9"/>
        <v>10</v>
      </c>
      <c r="Z24" s="15">
        <f t="shared" si="10"/>
        <v>0</v>
      </c>
      <c r="AA24" s="16">
        <f t="shared" si="11"/>
        <v>55</v>
      </c>
      <c r="AB24" s="16" t="str">
        <f t="shared" si="12"/>
        <v>Amber</v>
      </c>
      <c r="AC24" s="1"/>
    </row>
    <row r="25" spans="1:29" ht="17.25" customHeight="1" thickBot="1" x14ac:dyDescent="0.35">
      <c r="A25" t="s">
        <v>24</v>
      </c>
      <c r="C25" s="1">
        <v>3</v>
      </c>
      <c r="D25" s="1">
        <v>0</v>
      </c>
      <c r="E25" s="1">
        <v>0</v>
      </c>
      <c r="F25" s="1">
        <v>0</v>
      </c>
      <c r="G25" s="1">
        <v>0</v>
      </c>
      <c r="H25" s="1">
        <v>2</v>
      </c>
      <c r="I25" s="1">
        <v>4</v>
      </c>
      <c r="J25" s="1">
        <v>3</v>
      </c>
      <c r="K25" s="1">
        <v>4</v>
      </c>
      <c r="L25" s="1">
        <v>0</v>
      </c>
      <c r="M25" s="1">
        <v>3</v>
      </c>
      <c r="N25" s="1">
        <v>365000</v>
      </c>
      <c r="O25" s="1">
        <v>0</v>
      </c>
      <c r="P25" s="13">
        <f t="shared" si="0"/>
        <v>6</v>
      </c>
      <c r="Q25" s="14">
        <f t="shared" si="1"/>
        <v>2</v>
      </c>
      <c r="R25" s="14">
        <f t="shared" si="2"/>
        <v>0</v>
      </c>
      <c r="S25" s="14">
        <f t="shared" si="3"/>
        <v>1</v>
      </c>
      <c r="T25" s="15">
        <f t="shared" si="4"/>
        <v>15</v>
      </c>
      <c r="U25" s="15">
        <f t="shared" si="5"/>
        <v>10</v>
      </c>
      <c r="V25" s="15">
        <f t="shared" si="6"/>
        <v>20</v>
      </c>
      <c r="W25" s="15">
        <f t="shared" si="7"/>
        <v>0</v>
      </c>
      <c r="X25" s="15">
        <f t="shared" si="8"/>
        <v>0</v>
      </c>
      <c r="Y25" s="15">
        <f t="shared" si="9"/>
        <v>5</v>
      </c>
      <c r="Z25" s="15">
        <f t="shared" si="10"/>
        <v>0</v>
      </c>
      <c r="AA25" s="16">
        <f t="shared" si="11"/>
        <v>50</v>
      </c>
      <c r="AB25" s="16" t="str">
        <f t="shared" si="12"/>
        <v>Amber</v>
      </c>
      <c r="AC25" s="1"/>
    </row>
    <row r="26" spans="1:29" ht="17.25" customHeight="1" thickBot="1" x14ac:dyDescent="0.35">
      <c r="A26" t="s">
        <v>23</v>
      </c>
      <c r="C26" s="2">
        <v>3</v>
      </c>
      <c r="D26" s="2">
        <v>0</v>
      </c>
      <c r="E26" s="2">
        <v>0</v>
      </c>
      <c r="F26" s="2">
        <v>0</v>
      </c>
      <c r="G26" s="2">
        <v>0</v>
      </c>
      <c r="H26" s="2">
        <v>3</v>
      </c>
      <c r="I26" s="2">
        <v>1</v>
      </c>
      <c r="J26" s="2">
        <v>11</v>
      </c>
      <c r="K26" s="2">
        <v>8</v>
      </c>
      <c r="L26" s="2">
        <v>0</v>
      </c>
      <c r="M26" s="2">
        <v>1</v>
      </c>
      <c r="N26" s="2">
        <v>974200</v>
      </c>
      <c r="O26" s="2">
        <v>1</v>
      </c>
      <c r="P26" s="13">
        <f t="shared" si="0"/>
        <v>4</v>
      </c>
      <c r="Q26" s="14">
        <f t="shared" si="1"/>
        <v>1.3333333333333333</v>
      </c>
      <c r="R26" s="14">
        <f t="shared" si="2"/>
        <v>0</v>
      </c>
      <c r="S26" s="14">
        <f t="shared" si="3"/>
        <v>0.33333333333333331</v>
      </c>
      <c r="T26" s="15">
        <f t="shared" si="4"/>
        <v>15</v>
      </c>
      <c r="U26" s="15">
        <f t="shared" si="5"/>
        <v>10</v>
      </c>
      <c r="V26" s="15">
        <f t="shared" si="6"/>
        <v>20</v>
      </c>
      <c r="W26" s="15">
        <f t="shared" si="7"/>
        <v>0</v>
      </c>
      <c r="X26" s="15">
        <f t="shared" si="8"/>
        <v>0</v>
      </c>
      <c r="Y26" s="15">
        <f t="shared" si="9"/>
        <v>0</v>
      </c>
      <c r="Z26" s="15">
        <f t="shared" si="10"/>
        <v>0</v>
      </c>
      <c r="AA26" s="16">
        <f t="shared" si="11"/>
        <v>45</v>
      </c>
      <c r="AB26" s="16" t="str">
        <f t="shared" si="12"/>
        <v>Red</v>
      </c>
      <c r="AC26" s="1"/>
    </row>
    <row r="27" spans="1:29" ht="17.25" customHeight="1" thickBot="1" x14ac:dyDescent="0.35">
      <c r="A27" t="s">
        <v>7</v>
      </c>
      <c r="C27" s="2">
        <v>3</v>
      </c>
      <c r="D27" s="2">
        <v>0</v>
      </c>
      <c r="E27" s="2">
        <v>0</v>
      </c>
      <c r="F27" s="2">
        <v>0</v>
      </c>
      <c r="G27" s="2">
        <v>0</v>
      </c>
      <c r="H27" s="2">
        <v>3</v>
      </c>
      <c r="I27" s="2">
        <v>4</v>
      </c>
      <c r="J27" s="2">
        <v>0</v>
      </c>
      <c r="K27" s="2">
        <v>0</v>
      </c>
      <c r="L27" s="2">
        <v>0</v>
      </c>
      <c r="M27" s="2">
        <v>4</v>
      </c>
      <c r="N27" s="2">
        <v>65400000</v>
      </c>
      <c r="O27" s="2">
        <v>6</v>
      </c>
      <c r="P27" s="13">
        <f t="shared" si="0"/>
        <v>7</v>
      </c>
      <c r="Q27" s="14">
        <f t="shared" si="1"/>
        <v>2.3333333333333335</v>
      </c>
      <c r="R27" s="14">
        <f t="shared" si="2"/>
        <v>0</v>
      </c>
      <c r="S27" s="14">
        <f t="shared" si="3"/>
        <v>1.3333333333333333</v>
      </c>
      <c r="T27" s="15">
        <f t="shared" si="4"/>
        <v>15</v>
      </c>
      <c r="U27" s="15">
        <f t="shared" si="5"/>
        <v>10</v>
      </c>
      <c r="V27" s="15">
        <f t="shared" si="6"/>
        <v>20</v>
      </c>
      <c r="W27" s="15">
        <f t="shared" si="7"/>
        <v>10</v>
      </c>
      <c r="X27" s="15">
        <f t="shared" si="8"/>
        <v>0</v>
      </c>
      <c r="Y27" s="15">
        <f t="shared" si="9"/>
        <v>5</v>
      </c>
      <c r="Z27" s="15">
        <f t="shared" si="10"/>
        <v>0</v>
      </c>
      <c r="AA27" s="16">
        <f t="shared" si="11"/>
        <v>60</v>
      </c>
      <c r="AB27" s="16" t="str">
        <f t="shared" si="12"/>
        <v>Amber</v>
      </c>
      <c r="AC27" s="1"/>
    </row>
    <row r="28" spans="1:29" ht="17.25" customHeight="1" thickBot="1" x14ac:dyDescent="0.35">
      <c r="A28" t="s">
        <v>8</v>
      </c>
      <c r="C28" s="1">
        <v>3</v>
      </c>
      <c r="D28" s="1">
        <v>0</v>
      </c>
      <c r="E28" s="1">
        <v>0</v>
      </c>
      <c r="F28" s="1">
        <v>0</v>
      </c>
      <c r="G28" s="1">
        <v>0</v>
      </c>
      <c r="H28" s="1">
        <v>3</v>
      </c>
      <c r="I28" s="1">
        <v>4</v>
      </c>
      <c r="J28" s="1">
        <v>1</v>
      </c>
      <c r="K28" s="1">
        <v>1</v>
      </c>
      <c r="L28" s="1">
        <v>0</v>
      </c>
      <c r="M28" s="1">
        <v>2</v>
      </c>
      <c r="N28" s="1">
        <v>1765000</v>
      </c>
      <c r="O28" s="1">
        <v>2</v>
      </c>
      <c r="P28" s="13">
        <f t="shared" si="0"/>
        <v>7</v>
      </c>
      <c r="Q28" s="14">
        <f t="shared" si="1"/>
        <v>2.3333333333333335</v>
      </c>
      <c r="R28" s="14">
        <f t="shared" si="2"/>
        <v>0</v>
      </c>
      <c r="S28" s="14">
        <f t="shared" si="3"/>
        <v>0.66666666666666663</v>
      </c>
      <c r="T28" s="15">
        <f t="shared" si="4"/>
        <v>15</v>
      </c>
      <c r="U28" s="15">
        <f t="shared" si="5"/>
        <v>10</v>
      </c>
      <c r="V28" s="15">
        <f t="shared" si="6"/>
        <v>20</v>
      </c>
      <c r="W28" s="15">
        <f t="shared" si="7"/>
        <v>0</v>
      </c>
      <c r="X28" s="15">
        <f t="shared" si="8"/>
        <v>0</v>
      </c>
      <c r="Y28" s="15">
        <f t="shared" si="9"/>
        <v>0</v>
      </c>
      <c r="Z28" s="15">
        <f t="shared" si="10"/>
        <v>0</v>
      </c>
      <c r="AA28" s="16">
        <f t="shared" si="11"/>
        <v>45</v>
      </c>
      <c r="AB28" s="16" t="str">
        <f t="shared" si="12"/>
        <v>Red</v>
      </c>
      <c r="AC28" s="1"/>
    </row>
    <row r="29" spans="1:29" ht="17.25" customHeight="1" thickBot="1" x14ac:dyDescent="0.35">
      <c r="A29" t="s">
        <v>0</v>
      </c>
      <c r="C29" s="1">
        <v>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  <c r="N29" s="1">
        <v>0</v>
      </c>
      <c r="O29" s="1">
        <v>0</v>
      </c>
      <c r="P29" s="13">
        <f t="shared" si="0"/>
        <v>0</v>
      </c>
      <c r="Q29" s="14">
        <f t="shared" si="1"/>
        <v>0</v>
      </c>
      <c r="R29" s="14">
        <f t="shared" si="2"/>
        <v>0</v>
      </c>
      <c r="S29" s="14">
        <f t="shared" si="3"/>
        <v>1.3333333333333333</v>
      </c>
      <c r="T29" s="15">
        <f t="shared" si="4"/>
        <v>15</v>
      </c>
      <c r="U29" s="15">
        <f t="shared" si="5"/>
        <v>10</v>
      </c>
      <c r="V29" s="15">
        <f t="shared" si="6"/>
        <v>0</v>
      </c>
      <c r="W29" s="15">
        <f t="shared" si="7"/>
        <v>0</v>
      </c>
      <c r="X29" s="15">
        <f t="shared" si="8"/>
        <v>0</v>
      </c>
      <c r="Y29" s="15">
        <f t="shared" si="9"/>
        <v>5</v>
      </c>
      <c r="Z29" s="15">
        <f t="shared" si="10"/>
        <v>0</v>
      </c>
      <c r="AA29" s="16">
        <f t="shared" si="11"/>
        <v>30</v>
      </c>
      <c r="AB29" s="16" t="str">
        <f t="shared" si="12"/>
        <v>Red</v>
      </c>
      <c r="AC29" s="1"/>
    </row>
    <row r="30" spans="1:29" ht="33" customHeight="1" thickBot="1" x14ac:dyDescent="0.35">
      <c r="A30" t="s">
        <v>6</v>
      </c>
      <c r="C30" s="1">
        <v>2</v>
      </c>
      <c r="D30" s="1">
        <v>1</v>
      </c>
      <c r="E30" s="1">
        <v>0</v>
      </c>
      <c r="F30" s="1">
        <v>0</v>
      </c>
      <c r="G30" s="1">
        <v>0</v>
      </c>
      <c r="H30" s="1">
        <v>1</v>
      </c>
      <c r="I30" s="1">
        <v>7</v>
      </c>
      <c r="J30" s="1">
        <v>1</v>
      </c>
      <c r="K30" s="1">
        <v>6</v>
      </c>
      <c r="L30" s="1">
        <v>0</v>
      </c>
      <c r="M30" s="1">
        <v>7</v>
      </c>
      <c r="N30" s="1">
        <v>5723600</v>
      </c>
      <c r="O30" s="1">
        <v>6</v>
      </c>
      <c r="P30" s="13">
        <f t="shared" si="0"/>
        <v>8</v>
      </c>
      <c r="Q30" s="14">
        <f t="shared" si="1"/>
        <v>2.6666666666666665</v>
      </c>
      <c r="R30" s="14">
        <f t="shared" si="2"/>
        <v>0</v>
      </c>
      <c r="S30" s="14">
        <f t="shared" si="3"/>
        <v>2.3333333333333335</v>
      </c>
      <c r="T30" s="15">
        <f t="shared" si="4"/>
        <v>10</v>
      </c>
      <c r="U30" s="15">
        <f t="shared" si="5"/>
        <v>10</v>
      </c>
      <c r="V30" s="15">
        <f t="shared" si="6"/>
        <v>20</v>
      </c>
      <c r="W30" s="15">
        <f t="shared" si="7"/>
        <v>0</v>
      </c>
      <c r="X30" s="15">
        <f t="shared" si="8"/>
        <v>0</v>
      </c>
      <c r="Y30" s="15">
        <f t="shared" si="9"/>
        <v>10</v>
      </c>
      <c r="Z30" s="15">
        <f t="shared" si="10"/>
        <v>0</v>
      </c>
      <c r="AA30" s="16">
        <f t="shared" si="11"/>
        <v>50</v>
      </c>
      <c r="AB30" s="16" t="str">
        <f t="shared" si="12"/>
        <v>Amber</v>
      </c>
      <c r="AC30" s="2"/>
    </row>
    <row r="31" spans="1:29" ht="33" customHeight="1" thickBot="1" x14ac:dyDescent="0.35">
      <c r="A31" t="s">
        <v>1</v>
      </c>
      <c r="C31" s="2">
        <v>3</v>
      </c>
      <c r="D31" s="2">
        <v>0</v>
      </c>
      <c r="E31" s="2">
        <v>0</v>
      </c>
      <c r="F31" s="2">
        <v>0</v>
      </c>
      <c r="G31" s="2">
        <v>0</v>
      </c>
      <c r="H31" s="2">
        <v>2</v>
      </c>
      <c r="I31" s="2">
        <v>8</v>
      </c>
      <c r="J31" s="2">
        <v>2</v>
      </c>
      <c r="K31" s="2">
        <v>2</v>
      </c>
      <c r="L31" s="2">
        <v>0</v>
      </c>
      <c r="M31" s="2">
        <v>10</v>
      </c>
      <c r="N31" s="2">
        <v>65320000</v>
      </c>
      <c r="O31" s="2">
        <v>3</v>
      </c>
      <c r="P31" s="13">
        <f t="shared" si="0"/>
        <v>10</v>
      </c>
      <c r="Q31" s="14">
        <f t="shared" si="1"/>
        <v>3.3333333333333335</v>
      </c>
      <c r="R31" s="14">
        <f t="shared" si="2"/>
        <v>0</v>
      </c>
      <c r="S31" s="14">
        <f t="shared" si="3"/>
        <v>3.3333333333333335</v>
      </c>
      <c r="T31" s="15">
        <f t="shared" si="4"/>
        <v>15</v>
      </c>
      <c r="U31" s="15">
        <f t="shared" si="5"/>
        <v>10</v>
      </c>
      <c r="V31" s="15">
        <f t="shared" si="6"/>
        <v>20</v>
      </c>
      <c r="W31" s="15">
        <f t="shared" si="7"/>
        <v>10</v>
      </c>
      <c r="X31" s="15">
        <f t="shared" si="8"/>
        <v>0</v>
      </c>
      <c r="Y31" s="15">
        <f t="shared" si="9"/>
        <v>10</v>
      </c>
      <c r="Z31" s="15">
        <f t="shared" si="10"/>
        <v>0</v>
      </c>
      <c r="AA31" s="16">
        <f t="shared" si="11"/>
        <v>65</v>
      </c>
      <c r="AB31" s="16" t="str">
        <f t="shared" si="12"/>
        <v>Amber</v>
      </c>
      <c r="AC31" s="1"/>
    </row>
    <row r="32" spans="1:29" ht="33" customHeight="1" thickBot="1" x14ac:dyDescent="0.35">
      <c r="A32" t="s">
        <v>2</v>
      </c>
      <c r="C32" s="1">
        <v>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6</v>
      </c>
      <c r="J32" s="1">
        <v>0</v>
      </c>
      <c r="K32" s="1">
        <v>4</v>
      </c>
      <c r="L32" s="1">
        <v>0</v>
      </c>
      <c r="M32" s="1">
        <v>3</v>
      </c>
      <c r="N32" s="1">
        <v>5350000</v>
      </c>
      <c r="O32" s="1">
        <v>0</v>
      </c>
      <c r="P32" s="13">
        <f t="shared" si="0"/>
        <v>6</v>
      </c>
      <c r="Q32" s="14">
        <f t="shared" si="1"/>
        <v>2</v>
      </c>
      <c r="R32" s="14">
        <f t="shared" si="2"/>
        <v>0</v>
      </c>
      <c r="S32" s="14">
        <f t="shared" si="3"/>
        <v>1</v>
      </c>
      <c r="T32" s="15">
        <f t="shared" si="4"/>
        <v>15</v>
      </c>
      <c r="U32" s="15">
        <f t="shared" si="5"/>
        <v>10</v>
      </c>
      <c r="V32" s="15">
        <f t="shared" si="6"/>
        <v>20</v>
      </c>
      <c r="W32" s="15">
        <f t="shared" si="7"/>
        <v>0</v>
      </c>
      <c r="X32" s="15">
        <f t="shared" si="8"/>
        <v>0</v>
      </c>
      <c r="Y32" s="15">
        <f t="shared" si="9"/>
        <v>5</v>
      </c>
      <c r="Z32" s="15">
        <f t="shared" si="10"/>
        <v>0</v>
      </c>
      <c r="AA32" s="16">
        <f t="shared" si="11"/>
        <v>50</v>
      </c>
      <c r="AB32" s="16" t="str">
        <f t="shared" si="12"/>
        <v>Amber</v>
      </c>
      <c r="AC32" s="2"/>
    </row>
    <row r="33" spans="1:29" ht="33" customHeight="1" thickBot="1" x14ac:dyDescent="0.35">
      <c r="A33" t="s">
        <v>3</v>
      </c>
      <c r="C33" s="2">
        <v>3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3</v>
      </c>
      <c r="N33" s="2">
        <v>100000</v>
      </c>
      <c r="O33" s="2">
        <v>23</v>
      </c>
      <c r="P33" s="13">
        <f t="shared" si="0"/>
        <v>1</v>
      </c>
      <c r="Q33" s="14">
        <f t="shared" si="1"/>
        <v>0.33333333333333331</v>
      </c>
      <c r="R33" s="14">
        <f t="shared" si="2"/>
        <v>0</v>
      </c>
      <c r="S33" s="14">
        <f t="shared" si="3"/>
        <v>1</v>
      </c>
      <c r="T33" s="15">
        <f t="shared" si="4"/>
        <v>15</v>
      </c>
      <c r="U33" s="15">
        <f t="shared" si="5"/>
        <v>10</v>
      </c>
      <c r="V33" s="15">
        <f t="shared" si="6"/>
        <v>0</v>
      </c>
      <c r="W33" s="15">
        <f t="shared" si="7"/>
        <v>0</v>
      </c>
      <c r="X33" s="15">
        <f t="shared" si="8"/>
        <v>0</v>
      </c>
      <c r="Y33" s="15">
        <f t="shared" si="9"/>
        <v>5</v>
      </c>
      <c r="Z33" s="15">
        <f t="shared" si="10"/>
        <v>10</v>
      </c>
      <c r="AA33" s="16">
        <f t="shared" si="11"/>
        <v>40</v>
      </c>
      <c r="AB33" s="16" t="str">
        <f t="shared" si="12"/>
        <v>Red</v>
      </c>
      <c r="AC33" s="1"/>
    </row>
    <row r="34" spans="1:29" ht="33" customHeight="1" thickBot="1" x14ac:dyDescent="0.35">
      <c r="A34" t="s">
        <v>4</v>
      </c>
      <c r="C34" s="1">
        <v>3</v>
      </c>
      <c r="D34" s="1">
        <v>0</v>
      </c>
      <c r="E34" s="1">
        <v>0</v>
      </c>
      <c r="F34" s="1">
        <v>0</v>
      </c>
      <c r="G34" s="1">
        <v>0</v>
      </c>
      <c r="H34" s="1">
        <v>5</v>
      </c>
      <c r="I34" s="1">
        <v>1</v>
      </c>
      <c r="J34" s="1">
        <v>0</v>
      </c>
      <c r="K34" s="1">
        <v>0</v>
      </c>
      <c r="L34" s="1">
        <v>0</v>
      </c>
      <c r="M34" s="1">
        <v>7</v>
      </c>
      <c r="N34" s="1">
        <v>550000</v>
      </c>
      <c r="O34" s="1">
        <v>2</v>
      </c>
      <c r="P34" s="13">
        <f t="shared" si="0"/>
        <v>6</v>
      </c>
      <c r="Q34" s="14">
        <f t="shared" si="1"/>
        <v>2</v>
      </c>
      <c r="R34" s="14">
        <f t="shared" si="2"/>
        <v>0</v>
      </c>
      <c r="S34" s="14">
        <f t="shared" si="3"/>
        <v>2.3333333333333335</v>
      </c>
      <c r="T34" s="15">
        <f t="shared" si="4"/>
        <v>15</v>
      </c>
      <c r="U34" s="15">
        <f t="shared" si="5"/>
        <v>10</v>
      </c>
      <c r="V34" s="15">
        <f t="shared" si="6"/>
        <v>20</v>
      </c>
      <c r="W34" s="15">
        <f t="shared" si="7"/>
        <v>0</v>
      </c>
      <c r="X34" s="15">
        <f t="shared" si="8"/>
        <v>0</v>
      </c>
      <c r="Y34" s="15">
        <f t="shared" si="9"/>
        <v>10</v>
      </c>
      <c r="Z34" s="15">
        <f t="shared" si="10"/>
        <v>0</v>
      </c>
      <c r="AA34" s="16">
        <f t="shared" si="11"/>
        <v>55</v>
      </c>
      <c r="AB34" s="16" t="str">
        <f t="shared" si="12"/>
        <v>Amber</v>
      </c>
      <c r="AC34" s="1"/>
    </row>
    <row r="35" spans="1:29" ht="33" customHeight="1" thickBot="1" x14ac:dyDescent="0.35">
      <c r="A35" t="s">
        <v>5</v>
      </c>
      <c r="C35" s="2">
        <v>3</v>
      </c>
      <c r="D35" s="2">
        <v>0</v>
      </c>
      <c r="E35" s="2">
        <v>0</v>
      </c>
      <c r="F35" s="2">
        <v>0</v>
      </c>
      <c r="G35" s="2">
        <v>0</v>
      </c>
      <c r="H35" s="2">
        <v>2</v>
      </c>
      <c r="I35" s="2">
        <v>2</v>
      </c>
      <c r="J35" s="2">
        <v>3</v>
      </c>
      <c r="K35" s="2">
        <v>1</v>
      </c>
      <c r="L35" s="2">
        <v>0</v>
      </c>
      <c r="M35" s="2">
        <v>5</v>
      </c>
      <c r="N35" s="2">
        <v>55000</v>
      </c>
      <c r="O35" s="2">
        <v>3</v>
      </c>
      <c r="P35" s="13">
        <f t="shared" si="0"/>
        <v>4</v>
      </c>
      <c r="Q35" s="14">
        <f t="shared" si="1"/>
        <v>1.3333333333333333</v>
      </c>
      <c r="R35" s="14">
        <f t="shared" si="2"/>
        <v>0</v>
      </c>
      <c r="S35" s="14">
        <f t="shared" si="3"/>
        <v>1.6666666666666667</v>
      </c>
      <c r="T35" s="15">
        <f t="shared" si="4"/>
        <v>15</v>
      </c>
      <c r="U35" s="15">
        <f t="shared" si="5"/>
        <v>10</v>
      </c>
      <c r="V35" s="15">
        <f t="shared" si="6"/>
        <v>20</v>
      </c>
      <c r="W35" s="15">
        <f t="shared" si="7"/>
        <v>0</v>
      </c>
      <c r="X35" s="15">
        <f t="shared" si="8"/>
        <v>0</v>
      </c>
      <c r="Y35" s="15">
        <f t="shared" si="9"/>
        <v>5</v>
      </c>
      <c r="Z35" s="15">
        <f t="shared" si="10"/>
        <v>0</v>
      </c>
      <c r="AA35" s="16">
        <f t="shared" si="11"/>
        <v>50</v>
      </c>
      <c r="AB35" s="16" t="str">
        <f t="shared" si="12"/>
        <v>Amber</v>
      </c>
      <c r="AC35" s="2"/>
    </row>
    <row r="36" spans="1:29" ht="17.25" thickBot="1" x14ac:dyDescent="0.35"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18"/>
      <c r="O36" s="2"/>
      <c r="P36" s="13">
        <f t="shared" ref="P36" si="13">H36+I36</f>
        <v>0</v>
      </c>
      <c r="Q36" s="14" t="e">
        <f t="shared" ref="Q36" si="14">P36/(C36+D36+E36+F36+G36)</f>
        <v>#DIV/0!</v>
      </c>
      <c r="R36" s="14" t="e">
        <f t="shared" ref="R36" si="15">L36/(C36+D36+E36+F36+G36)</f>
        <v>#DIV/0!</v>
      </c>
      <c r="S36" s="14" t="e">
        <f t="shared" ref="S36" si="16">M36/(C36+D36+E36+F36+G36)</f>
        <v>#DIV/0!</v>
      </c>
      <c r="T36" s="15">
        <f t="shared" ref="T36" si="17">IF(D36&gt;2,0,IF(D36=2,5,IF(D36=1,10,IF(D36&lt;1,15))))</f>
        <v>15</v>
      </c>
      <c r="U36" s="15">
        <f t="shared" ref="U36" si="18">IF(E36&gt;=2,0,IF(E36=1,5,IF(E36=0,10)))</f>
        <v>10</v>
      </c>
      <c r="V36" s="15" t="e">
        <f t="shared" ref="V36" si="19">IF(Q36&lt;0.5,0,IF(Q36&lt;0.75,5,IF(Q36&lt;1,10,IF(Q36&lt;1.2,15,IF(Q36&gt;=1.2,20)))))</f>
        <v>#DIV/0!</v>
      </c>
      <c r="W36" s="15">
        <f t="shared" ref="W36" si="20">IF(N36&lt;25000000,0,IF(N36&lt;50000000,5,IF(N36&lt;100000000,10,IF(N36&gt;=100000000,15))))</f>
        <v>0</v>
      </c>
      <c r="X36" s="15" t="e">
        <f t="shared" ref="X36" si="21">IF(R36&lt;0.1,0,IF(R36&lt;0.2,5,IF(R36&lt;0.4,10,IF(R36&lt;0.6,15,IF(R36&gt;=0.6,20)))))</f>
        <v>#DIV/0!</v>
      </c>
      <c r="Y36" s="15" t="e">
        <f t="shared" ref="Y36" si="22">IF(S36&lt;1,0,IF(S36&lt;2,5,IF(S36&gt;=2,10)))</f>
        <v>#DIV/0!</v>
      </c>
      <c r="Z36" s="15">
        <f t="shared" ref="Z36" si="23">IF(O36&lt;10,0,IF(O36&lt;20,5,IF(O36&gt;=20,10)))</f>
        <v>0</v>
      </c>
      <c r="AA36" s="16" t="e">
        <f t="shared" ref="AA36" si="24">SUM(T36:Z36)</f>
        <v>#DIV/0!</v>
      </c>
      <c r="AB36" s="16" t="e">
        <f t="shared" ref="AB36" si="25">IF(AA36&lt;30,"Grey",IF(AA36&lt;50,"Red",IF(AA36&lt;70,"Amber",IF(AA36&gt;=70,"Green"))))</f>
        <v>#DIV/0!</v>
      </c>
      <c r="AC36" s="2"/>
    </row>
  </sheetData>
  <autoFilter ref="A2:AB2" xr:uid="{19F20408-C5D8-4B82-9BB3-D76C1B5981B3}">
    <sortState xmlns:xlrd2="http://schemas.microsoft.com/office/spreadsheetml/2017/richdata2" ref="A3:AB35">
      <sortCondition ref="A2"/>
    </sortState>
  </autoFilter>
  <phoneticPr fontId="5" type="noConversion"/>
  <conditionalFormatting sqref="AA3:AA36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10FE-A076-4B6A-82F9-B99AAD595202}">
  <dimension ref="A1:AC36"/>
  <sheetViews>
    <sheetView workbookViewId="0">
      <selection sqref="A1:XFD1048576"/>
    </sheetView>
  </sheetViews>
  <sheetFormatPr defaultRowHeight="16.5" x14ac:dyDescent="0.3"/>
  <cols>
    <col min="1" max="1" width="11.125" bestFit="1" customWidth="1"/>
    <col min="3" max="13" width="3.875" customWidth="1"/>
    <col min="14" max="14" width="10" bestFit="1" customWidth="1"/>
    <col min="15" max="15" width="5.125" customWidth="1"/>
    <col min="16" max="26" width="4.5" customWidth="1"/>
  </cols>
  <sheetData>
    <row r="1" spans="1:29" x14ac:dyDescent="0.3">
      <c r="A1" s="17" t="s">
        <v>61</v>
      </c>
    </row>
    <row r="2" spans="1:29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9" ht="33" customHeight="1" thickBot="1" x14ac:dyDescent="0.35">
      <c r="A3" t="s">
        <v>17</v>
      </c>
      <c r="C3" s="2">
        <v>4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3</v>
      </c>
      <c r="J3" s="2">
        <v>1</v>
      </c>
      <c r="K3" s="2">
        <v>5</v>
      </c>
      <c r="L3" s="2">
        <v>1</v>
      </c>
      <c r="M3" s="2">
        <v>7</v>
      </c>
      <c r="N3" s="2">
        <v>11240000</v>
      </c>
      <c r="O3" s="2">
        <v>8</v>
      </c>
      <c r="P3" s="13">
        <f t="shared" ref="P3:P35" si="0">H3+I3</f>
        <v>4</v>
      </c>
      <c r="Q3" s="14">
        <f t="shared" ref="Q3:Q35" si="1">P3/(C3+D3+E3+F3+G3)</f>
        <v>1</v>
      </c>
      <c r="R3" s="14">
        <f t="shared" ref="R3:R35" si="2">L3/(C3+D3+E3+F3+G3)</f>
        <v>0.25</v>
      </c>
      <c r="S3" s="14">
        <f t="shared" ref="S3:S35" si="3">M3/(C3+D3+E3+F3+G3)</f>
        <v>1.75</v>
      </c>
      <c r="T3" s="15">
        <f t="shared" ref="T3:T35" si="4">IF(D3&gt;2,0,IF(D3=2,5,IF(D3=1,10,IF(D3&lt;1,15))))</f>
        <v>15</v>
      </c>
      <c r="U3" s="15">
        <f t="shared" ref="U3:U35" si="5">IF(E3&gt;=2,0,IF(E3=1,5,IF(E3=0,10)))</f>
        <v>10</v>
      </c>
      <c r="V3" s="15">
        <f t="shared" ref="V3:V35" si="6">IF(Q3&lt;0.5,0,IF(Q3&lt;0.75,5,IF(Q3&lt;1,10,IF(Q3&lt;1.2,15,IF(Q3&gt;=1.2,20)))))</f>
        <v>15</v>
      </c>
      <c r="W3" s="15">
        <f t="shared" ref="W3:W35" si="7">IF(N3&lt;25000000,0,IF(N3&lt;50000000,5,IF(N3&lt;100000000,10,IF(N3&gt;=100000000,15))))</f>
        <v>0</v>
      </c>
      <c r="X3" s="15">
        <f t="shared" ref="X3:X35" si="8">IF(R3&lt;0.1,0,IF(R3&lt;0.2,5,IF(R3&lt;0.4,10,IF(R3&lt;0.6,15,IF(R3&gt;=0.6,20)))))</f>
        <v>10</v>
      </c>
      <c r="Y3" s="15">
        <f t="shared" ref="Y3:Y35" si="9">IF(S3&lt;1,0,IF(S3&lt;2,5,IF(S3&gt;=2,10)))</f>
        <v>5</v>
      </c>
      <c r="Z3" s="15">
        <f t="shared" ref="Z3:Z35" si="10">IF(O3&lt;10,0,IF(O3&lt;20,5,IF(O3&gt;=20,10)))</f>
        <v>0</v>
      </c>
      <c r="AA3" s="16">
        <f t="shared" ref="AA3:AA35" si="11">SUM(T3:Z3)</f>
        <v>55</v>
      </c>
      <c r="AB3" s="16" t="str">
        <f t="shared" ref="AB3:AB35" si="12">IF(AA3&lt;30,"Grey",IF(AA3&lt;50,"Red",IF(AA3&lt;70,"Amber",IF(AA3&gt;=70,"Green"))))</f>
        <v>Amber</v>
      </c>
      <c r="AC3" s="1"/>
    </row>
    <row r="4" spans="1:29" ht="33" customHeight="1" thickBot="1" x14ac:dyDescent="0.35">
      <c r="A4" t="s">
        <v>15</v>
      </c>
      <c r="C4" s="2">
        <v>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6</v>
      </c>
      <c r="J4" s="2">
        <v>1</v>
      </c>
      <c r="K4" s="2">
        <v>2</v>
      </c>
      <c r="L4" s="2">
        <v>0</v>
      </c>
      <c r="M4" s="2">
        <v>7</v>
      </c>
      <c r="N4" s="2">
        <v>4150000</v>
      </c>
      <c r="O4" s="2">
        <v>7</v>
      </c>
      <c r="P4" s="13">
        <f t="shared" si="0"/>
        <v>6</v>
      </c>
      <c r="Q4" s="14">
        <f t="shared" si="1"/>
        <v>1.5</v>
      </c>
      <c r="R4" s="14">
        <f t="shared" si="2"/>
        <v>0</v>
      </c>
      <c r="S4" s="14">
        <f t="shared" si="3"/>
        <v>1.75</v>
      </c>
      <c r="T4" s="15">
        <f t="shared" si="4"/>
        <v>15</v>
      </c>
      <c r="U4" s="15">
        <f t="shared" si="5"/>
        <v>10</v>
      </c>
      <c r="V4" s="15">
        <f t="shared" si="6"/>
        <v>20</v>
      </c>
      <c r="W4" s="15">
        <f t="shared" si="7"/>
        <v>0</v>
      </c>
      <c r="X4" s="15">
        <f t="shared" si="8"/>
        <v>0</v>
      </c>
      <c r="Y4" s="15">
        <f t="shared" si="9"/>
        <v>5</v>
      </c>
      <c r="Z4" s="15">
        <f t="shared" si="10"/>
        <v>0</v>
      </c>
      <c r="AA4" s="16">
        <f t="shared" si="11"/>
        <v>50</v>
      </c>
      <c r="AB4" s="16" t="str">
        <f t="shared" si="12"/>
        <v>Amber</v>
      </c>
      <c r="AC4" s="3"/>
    </row>
    <row r="5" spans="1:29" ht="17.25" customHeight="1" thickBot="1" x14ac:dyDescent="0.35">
      <c r="A5" t="s">
        <v>9</v>
      </c>
      <c r="C5" s="2">
        <v>4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6</v>
      </c>
      <c r="J5" s="2">
        <v>0</v>
      </c>
      <c r="K5" s="2">
        <v>4</v>
      </c>
      <c r="L5" s="2">
        <v>0</v>
      </c>
      <c r="M5" s="2">
        <v>5</v>
      </c>
      <c r="N5" s="2">
        <v>506000</v>
      </c>
      <c r="O5" s="2">
        <v>9</v>
      </c>
      <c r="P5" s="13">
        <f t="shared" si="0"/>
        <v>7</v>
      </c>
      <c r="Q5" s="14">
        <f t="shared" si="1"/>
        <v>1.75</v>
      </c>
      <c r="R5" s="14">
        <f t="shared" si="2"/>
        <v>0</v>
      </c>
      <c r="S5" s="14">
        <f t="shared" si="3"/>
        <v>1.25</v>
      </c>
      <c r="T5" s="15">
        <f t="shared" si="4"/>
        <v>15</v>
      </c>
      <c r="U5" s="15">
        <f t="shared" si="5"/>
        <v>10</v>
      </c>
      <c r="V5" s="15">
        <f t="shared" si="6"/>
        <v>20</v>
      </c>
      <c r="W5" s="15">
        <f t="shared" si="7"/>
        <v>0</v>
      </c>
      <c r="X5" s="15">
        <f t="shared" si="8"/>
        <v>0</v>
      </c>
      <c r="Y5" s="15">
        <f t="shared" si="9"/>
        <v>5</v>
      </c>
      <c r="Z5" s="15">
        <f t="shared" si="10"/>
        <v>0</v>
      </c>
      <c r="AA5" s="16">
        <f t="shared" si="11"/>
        <v>50</v>
      </c>
      <c r="AB5" s="16" t="str">
        <f t="shared" si="12"/>
        <v>Amber</v>
      </c>
      <c r="AC5" s="2"/>
    </row>
    <row r="6" spans="1:29" ht="17.25" customHeight="1" thickBot="1" x14ac:dyDescent="0.35">
      <c r="A6" t="s">
        <v>16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4</v>
      </c>
      <c r="N6" s="1">
        <v>0</v>
      </c>
      <c r="O6" s="1">
        <v>6</v>
      </c>
      <c r="P6" s="13">
        <f t="shared" si="0"/>
        <v>0</v>
      </c>
      <c r="Q6" s="14">
        <f t="shared" si="1"/>
        <v>0</v>
      </c>
      <c r="R6" s="14">
        <f t="shared" si="2"/>
        <v>0</v>
      </c>
      <c r="S6" s="14">
        <f t="shared" si="3"/>
        <v>1</v>
      </c>
      <c r="T6" s="15">
        <f t="shared" si="4"/>
        <v>15</v>
      </c>
      <c r="U6" s="15">
        <f t="shared" si="5"/>
        <v>10</v>
      </c>
      <c r="V6" s="15">
        <f t="shared" si="6"/>
        <v>0</v>
      </c>
      <c r="W6" s="15">
        <f t="shared" si="7"/>
        <v>0</v>
      </c>
      <c r="X6" s="15">
        <f t="shared" si="8"/>
        <v>0</v>
      </c>
      <c r="Y6" s="15">
        <f t="shared" si="9"/>
        <v>5</v>
      </c>
      <c r="Z6" s="15">
        <f t="shared" si="10"/>
        <v>0</v>
      </c>
      <c r="AA6" s="16">
        <f t="shared" si="11"/>
        <v>30</v>
      </c>
      <c r="AB6" s="16" t="str">
        <f t="shared" si="12"/>
        <v>Red</v>
      </c>
      <c r="AC6" s="1"/>
    </row>
    <row r="7" spans="1:29" ht="33" customHeight="1" thickBot="1" x14ac:dyDescent="0.35">
      <c r="A7" t="s">
        <v>13</v>
      </c>
      <c r="C7" s="2">
        <v>4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3</v>
      </c>
      <c r="J7" s="2">
        <v>8</v>
      </c>
      <c r="K7" s="2">
        <v>8</v>
      </c>
      <c r="L7" s="2">
        <v>0</v>
      </c>
      <c r="M7" s="2">
        <v>5</v>
      </c>
      <c r="N7" s="2">
        <v>4150000</v>
      </c>
      <c r="O7" s="2">
        <v>8</v>
      </c>
      <c r="P7" s="13">
        <f t="shared" si="0"/>
        <v>6</v>
      </c>
      <c r="Q7" s="14">
        <f t="shared" si="1"/>
        <v>1.5</v>
      </c>
      <c r="R7" s="14">
        <f t="shared" si="2"/>
        <v>0</v>
      </c>
      <c r="S7" s="14">
        <f t="shared" si="3"/>
        <v>1.25</v>
      </c>
      <c r="T7" s="15">
        <f t="shared" si="4"/>
        <v>15</v>
      </c>
      <c r="U7" s="15">
        <f t="shared" si="5"/>
        <v>10</v>
      </c>
      <c r="V7" s="15">
        <f t="shared" si="6"/>
        <v>20</v>
      </c>
      <c r="W7" s="15">
        <f t="shared" si="7"/>
        <v>0</v>
      </c>
      <c r="X7" s="15">
        <f t="shared" si="8"/>
        <v>0</v>
      </c>
      <c r="Y7" s="15">
        <f t="shared" si="9"/>
        <v>5</v>
      </c>
      <c r="Z7" s="15">
        <f t="shared" si="10"/>
        <v>0</v>
      </c>
      <c r="AA7" s="16">
        <f t="shared" si="11"/>
        <v>50</v>
      </c>
      <c r="AB7" s="16" t="str">
        <f t="shared" si="12"/>
        <v>Amber</v>
      </c>
      <c r="AC7" s="2"/>
    </row>
    <row r="8" spans="1:29" ht="33" customHeight="1" thickBot="1" x14ac:dyDescent="0.35">
      <c r="A8" t="s">
        <v>12</v>
      </c>
      <c r="C8" s="1">
        <v>4</v>
      </c>
      <c r="D8" s="1">
        <v>0</v>
      </c>
      <c r="E8" s="1">
        <v>0</v>
      </c>
      <c r="F8" s="1">
        <v>0</v>
      </c>
      <c r="G8" s="1">
        <v>0</v>
      </c>
      <c r="H8" s="1">
        <v>4</v>
      </c>
      <c r="I8" s="1">
        <v>2</v>
      </c>
      <c r="J8" s="1">
        <v>0</v>
      </c>
      <c r="K8" s="1">
        <v>1</v>
      </c>
      <c r="L8" s="1">
        <v>0</v>
      </c>
      <c r="M8" s="1">
        <v>7</v>
      </c>
      <c r="N8" s="1">
        <v>90000</v>
      </c>
      <c r="O8" s="1">
        <v>5</v>
      </c>
      <c r="P8" s="13">
        <f t="shared" si="0"/>
        <v>6</v>
      </c>
      <c r="Q8" s="14">
        <f t="shared" si="1"/>
        <v>1.5</v>
      </c>
      <c r="R8" s="14">
        <f t="shared" si="2"/>
        <v>0</v>
      </c>
      <c r="S8" s="14">
        <f t="shared" si="3"/>
        <v>1.75</v>
      </c>
      <c r="T8" s="15">
        <f t="shared" si="4"/>
        <v>15</v>
      </c>
      <c r="U8" s="15">
        <f t="shared" si="5"/>
        <v>10</v>
      </c>
      <c r="V8" s="15">
        <f t="shared" si="6"/>
        <v>20</v>
      </c>
      <c r="W8" s="15">
        <f t="shared" si="7"/>
        <v>0</v>
      </c>
      <c r="X8" s="15">
        <f t="shared" si="8"/>
        <v>0</v>
      </c>
      <c r="Y8" s="15">
        <f t="shared" si="9"/>
        <v>5</v>
      </c>
      <c r="Z8" s="15">
        <f t="shared" si="10"/>
        <v>0</v>
      </c>
      <c r="AA8" s="16">
        <f t="shared" si="11"/>
        <v>50</v>
      </c>
      <c r="AB8" s="16" t="str">
        <f t="shared" si="12"/>
        <v>Amber</v>
      </c>
      <c r="AC8" s="2"/>
    </row>
    <row r="9" spans="1:29" ht="17.25" customHeight="1" thickBot="1" x14ac:dyDescent="0.35">
      <c r="A9" t="s">
        <v>11</v>
      </c>
      <c r="C9" s="2">
        <v>4</v>
      </c>
      <c r="D9" s="2">
        <v>0</v>
      </c>
      <c r="E9" s="2">
        <v>0</v>
      </c>
      <c r="F9" s="2">
        <v>0</v>
      </c>
      <c r="G9" s="2">
        <v>0</v>
      </c>
      <c r="H9" s="2">
        <v>7</v>
      </c>
      <c r="I9" s="2">
        <v>1</v>
      </c>
      <c r="J9" s="2">
        <v>0</v>
      </c>
      <c r="K9" s="2">
        <v>0</v>
      </c>
      <c r="L9" s="2">
        <v>0</v>
      </c>
      <c r="M9" s="2">
        <v>7</v>
      </c>
      <c r="N9" s="2">
        <v>131000</v>
      </c>
      <c r="O9" s="2">
        <v>3</v>
      </c>
      <c r="P9" s="13">
        <f t="shared" si="0"/>
        <v>8</v>
      </c>
      <c r="Q9" s="14">
        <f t="shared" si="1"/>
        <v>2</v>
      </c>
      <c r="R9" s="14">
        <f t="shared" si="2"/>
        <v>0</v>
      </c>
      <c r="S9" s="14">
        <f t="shared" si="3"/>
        <v>1.75</v>
      </c>
      <c r="T9" s="15">
        <f t="shared" si="4"/>
        <v>15</v>
      </c>
      <c r="U9" s="15">
        <f t="shared" si="5"/>
        <v>10</v>
      </c>
      <c r="V9" s="15">
        <f t="shared" si="6"/>
        <v>20</v>
      </c>
      <c r="W9" s="15">
        <f t="shared" si="7"/>
        <v>0</v>
      </c>
      <c r="X9" s="15">
        <f t="shared" si="8"/>
        <v>0</v>
      </c>
      <c r="Y9" s="15">
        <f t="shared" si="9"/>
        <v>5</v>
      </c>
      <c r="Z9" s="15">
        <f t="shared" si="10"/>
        <v>0</v>
      </c>
      <c r="AA9" s="16">
        <f t="shared" si="11"/>
        <v>50</v>
      </c>
      <c r="AB9" s="16" t="str">
        <f t="shared" si="12"/>
        <v>Amber</v>
      </c>
      <c r="AC9" s="1"/>
    </row>
    <row r="10" spans="1:29" ht="17.25" customHeight="1" thickBot="1" x14ac:dyDescent="0.35">
      <c r="A10" t="s">
        <v>10</v>
      </c>
      <c r="C10" s="1">
        <v>4</v>
      </c>
      <c r="D10" s="1">
        <v>0</v>
      </c>
      <c r="E10" s="1">
        <v>0</v>
      </c>
      <c r="F10" s="1">
        <v>0</v>
      </c>
      <c r="G10" s="1">
        <v>0</v>
      </c>
      <c r="H10" s="1">
        <v>2</v>
      </c>
      <c r="I10" s="1">
        <v>0</v>
      </c>
      <c r="J10" s="1">
        <v>2</v>
      </c>
      <c r="K10" s="1">
        <v>6</v>
      </c>
      <c r="L10" s="1">
        <v>0</v>
      </c>
      <c r="M10" s="1">
        <v>5</v>
      </c>
      <c r="N10" s="1">
        <v>43300000</v>
      </c>
      <c r="O10" s="1">
        <v>0</v>
      </c>
      <c r="P10" s="13">
        <f t="shared" si="0"/>
        <v>2</v>
      </c>
      <c r="Q10" s="14">
        <f t="shared" si="1"/>
        <v>0.5</v>
      </c>
      <c r="R10" s="14">
        <f t="shared" si="2"/>
        <v>0</v>
      </c>
      <c r="S10" s="14">
        <f t="shared" si="3"/>
        <v>1.25</v>
      </c>
      <c r="T10" s="15">
        <f t="shared" si="4"/>
        <v>15</v>
      </c>
      <c r="U10" s="15">
        <f t="shared" si="5"/>
        <v>10</v>
      </c>
      <c r="V10" s="15">
        <f t="shared" si="6"/>
        <v>5</v>
      </c>
      <c r="W10" s="15">
        <f t="shared" si="7"/>
        <v>5</v>
      </c>
      <c r="X10" s="15">
        <f t="shared" si="8"/>
        <v>0</v>
      </c>
      <c r="Y10" s="15">
        <f t="shared" si="9"/>
        <v>5</v>
      </c>
      <c r="Z10" s="15">
        <f t="shared" si="10"/>
        <v>0</v>
      </c>
      <c r="AA10" s="16">
        <f t="shared" si="11"/>
        <v>40</v>
      </c>
      <c r="AB10" s="16" t="str">
        <f t="shared" si="12"/>
        <v>Red</v>
      </c>
      <c r="AC10" s="1"/>
    </row>
    <row r="11" spans="1:29" ht="33" customHeight="1" thickBot="1" x14ac:dyDescent="0.35">
      <c r="A11" t="s">
        <v>14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6</v>
      </c>
      <c r="I11" s="1">
        <v>6</v>
      </c>
      <c r="J11" s="1">
        <v>4</v>
      </c>
      <c r="K11" s="1">
        <v>5</v>
      </c>
      <c r="L11" s="1">
        <v>0</v>
      </c>
      <c r="M11" s="1">
        <v>11</v>
      </c>
      <c r="N11" s="1">
        <v>438500</v>
      </c>
      <c r="O11" s="1">
        <v>8</v>
      </c>
      <c r="P11" s="13">
        <f t="shared" si="0"/>
        <v>12</v>
      </c>
      <c r="Q11" s="14">
        <f t="shared" si="1"/>
        <v>3</v>
      </c>
      <c r="R11" s="14">
        <f t="shared" si="2"/>
        <v>0</v>
      </c>
      <c r="S11" s="14">
        <f t="shared" si="3"/>
        <v>2.75</v>
      </c>
      <c r="T11" s="15">
        <f t="shared" si="4"/>
        <v>15</v>
      </c>
      <c r="U11" s="15">
        <f t="shared" si="5"/>
        <v>10</v>
      </c>
      <c r="V11" s="15">
        <f t="shared" si="6"/>
        <v>20</v>
      </c>
      <c r="W11" s="15">
        <f t="shared" si="7"/>
        <v>0</v>
      </c>
      <c r="X11" s="15">
        <f t="shared" si="8"/>
        <v>0</v>
      </c>
      <c r="Y11" s="15">
        <f t="shared" si="9"/>
        <v>10</v>
      </c>
      <c r="Z11" s="15">
        <f t="shared" si="10"/>
        <v>0</v>
      </c>
      <c r="AA11" s="16">
        <f t="shared" si="11"/>
        <v>55</v>
      </c>
      <c r="AB11" s="16" t="str">
        <f t="shared" si="12"/>
        <v>Amber</v>
      </c>
      <c r="AC11" s="2"/>
    </row>
    <row r="12" spans="1:29" ht="33" customHeight="1" thickBot="1" x14ac:dyDescent="0.35">
      <c r="A12" t="s">
        <v>25</v>
      </c>
      <c r="C12" s="2">
        <v>4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12</v>
      </c>
      <c r="N12" s="2">
        <v>40000</v>
      </c>
      <c r="O12" s="2">
        <v>3</v>
      </c>
      <c r="P12" s="13">
        <f t="shared" si="0"/>
        <v>1</v>
      </c>
      <c r="Q12" s="14">
        <f t="shared" si="1"/>
        <v>0.25</v>
      </c>
      <c r="R12" s="14">
        <f t="shared" si="2"/>
        <v>0</v>
      </c>
      <c r="S12" s="14">
        <f t="shared" si="3"/>
        <v>3</v>
      </c>
      <c r="T12" s="15">
        <f t="shared" si="4"/>
        <v>15</v>
      </c>
      <c r="U12" s="15">
        <f t="shared" si="5"/>
        <v>10</v>
      </c>
      <c r="V12" s="15">
        <f t="shared" si="6"/>
        <v>0</v>
      </c>
      <c r="W12" s="15">
        <f t="shared" si="7"/>
        <v>0</v>
      </c>
      <c r="X12" s="15">
        <f t="shared" si="8"/>
        <v>0</v>
      </c>
      <c r="Y12" s="15">
        <f t="shared" si="9"/>
        <v>10</v>
      </c>
      <c r="Z12" s="15">
        <f t="shared" si="10"/>
        <v>0</v>
      </c>
      <c r="AA12" s="16">
        <f t="shared" si="11"/>
        <v>35</v>
      </c>
      <c r="AB12" s="16" t="str">
        <f t="shared" si="12"/>
        <v>Red</v>
      </c>
      <c r="AC12" s="2"/>
    </row>
    <row r="13" spans="1:29" ht="33" customHeight="1" thickBot="1" x14ac:dyDescent="0.35">
      <c r="A13" t="s">
        <v>28</v>
      </c>
      <c r="C13" s="1">
        <v>4</v>
      </c>
      <c r="D13" s="1">
        <v>0</v>
      </c>
      <c r="E13" s="1">
        <v>0</v>
      </c>
      <c r="F13" s="1">
        <v>0</v>
      </c>
      <c r="G13" s="1">
        <v>0</v>
      </c>
      <c r="H13" s="1">
        <v>3</v>
      </c>
      <c r="I13" s="1">
        <v>0</v>
      </c>
      <c r="J13" s="1">
        <v>1</v>
      </c>
      <c r="K13" s="1">
        <v>1</v>
      </c>
      <c r="L13" s="1">
        <v>0</v>
      </c>
      <c r="M13" s="1">
        <v>6</v>
      </c>
      <c r="N13" s="1">
        <v>186300</v>
      </c>
      <c r="O13" s="1">
        <v>3</v>
      </c>
      <c r="P13" s="13">
        <f t="shared" si="0"/>
        <v>3</v>
      </c>
      <c r="Q13" s="14">
        <f t="shared" si="1"/>
        <v>0.75</v>
      </c>
      <c r="R13" s="14">
        <f t="shared" si="2"/>
        <v>0</v>
      </c>
      <c r="S13" s="14">
        <f t="shared" si="3"/>
        <v>1.5</v>
      </c>
      <c r="T13" s="15">
        <f t="shared" si="4"/>
        <v>15</v>
      </c>
      <c r="U13" s="15">
        <f t="shared" si="5"/>
        <v>10</v>
      </c>
      <c r="V13" s="15">
        <f t="shared" si="6"/>
        <v>10</v>
      </c>
      <c r="W13" s="15">
        <f t="shared" si="7"/>
        <v>0</v>
      </c>
      <c r="X13" s="15">
        <f t="shared" si="8"/>
        <v>0</v>
      </c>
      <c r="Y13" s="15">
        <f t="shared" si="9"/>
        <v>5</v>
      </c>
      <c r="Z13" s="15">
        <f t="shared" si="10"/>
        <v>0</v>
      </c>
      <c r="AA13" s="16">
        <f t="shared" si="11"/>
        <v>40</v>
      </c>
      <c r="AB13" s="16" t="str">
        <f t="shared" si="12"/>
        <v>Red</v>
      </c>
      <c r="AC13" s="2"/>
    </row>
    <row r="14" spans="1:29" ht="17.25" customHeight="1" thickBot="1" x14ac:dyDescent="0.35">
      <c r="A14" t="s">
        <v>27</v>
      </c>
      <c r="C14" s="2">
        <v>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13">
        <f t="shared" si="0"/>
        <v>0</v>
      </c>
      <c r="Q14" s="14">
        <f t="shared" si="1"/>
        <v>0</v>
      </c>
      <c r="R14" s="14">
        <f t="shared" si="2"/>
        <v>0</v>
      </c>
      <c r="S14" s="14">
        <f t="shared" si="3"/>
        <v>0</v>
      </c>
      <c r="T14" s="15">
        <f t="shared" si="4"/>
        <v>15</v>
      </c>
      <c r="U14" s="15">
        <f t="shared" si="5"/>
        <v>10</v>
      </c>
      <c r="V14" s="15">
        <f t="shared" si="6"/>
        <v>0</v>
      </c>
      <c r="W14" s="15">
        <f t="shared" si="7"/>
        <v>0</v>
      </c>
      <c r="X14" s="15">
        <f t="shared" si="8"/>
        <v>0</v>
      </c>
      <c r="Y14" s="15">
        <f t="shared" si="9"/>
        <v>0</v>
      </c>
      <c r="Z14" s="15">
        <f t="shared" si="10"/>
        <v>0</v>
      </c>
      <c r="AA14" s="16">
        <f t="shared" si="11"/>
        <v>25</v>
      </c>
      <c r="AB14" s="16" t="str">
        <f t="shared" si="12"/>
        <v>Grey</v>
      </c>
      <c r="AC14" s="2"/>
    </row>
    <row r="15" spans="1:29" ht="17.25" customHeight="1" thickBot="1" x14ac:dyDescent="0.35">
      <c r="A15" t="s">
        <v>26</v>
      </c>
      <c r="C15" s="1">
        <v>3</v>
      </c>
      <c r="D15" s="1">
        <v>0</v>
      </c>
      <c r="E15" s="1">
        <v>1</v>
      </c>
      <c r="F15" s="1">
        <v>0</v>
      </c>
      <c r="G15" s="1">
        <v>0</v>
      </c>
      <c r="H15" s="1">
        <v>4</v>
      </c>
      <c r="I15" s="1">
        <v>4</v>
      </c>
      <c r="J15" s="1">
        <v>0</v>
      </c>
      <c r="K15" s="1">
        <v>2</v>
      </c>
      <c r="L15" s="1">
        <v>0</v>
      </c>
      <c r="M15" s="1">
        <v>9</v>
      </c>
      <c r="N15" s="1">
        <v>1040400</v>
      </c>
      <c r="O15" s="1">
        <v>21</v>
      </c>
      <c r="P15" s="13">
        <f t="shared" si="0"/>
        <v>8</v>
      </c>
      <c r="Q15" s="14">
        <f t="shared" si="1"/>
        <v>2</v>
      </c>
      <c r="R15" s="14">
        <f t="shared" si="2"/>
        <v>0</v>
      </c>
      <c r="S15" s="14">
        <f t="shared" si="3"/>
        <v>2.25</v>
      </c>
      <c r="T15" s="15">
        <f t="shared" si="4"/>
        <v>15</v>
      </c>
      <c r="U15" s="15">
        <f t="shared" si="5"/>
        <v>5</v>
      </c>
      <c r="V15" s="15">
        <f t="shared" si="6"/>
        <v>20</v>
      </c>
      <c r="W15" s="15">
        <f t="shared" si="7"/>
        <v>0</v>
      </c>
      <c r="X15" s="15">
        <f t="shared" si="8"/>
        <v>0</v>
      </c>
      <c r="Y15" s="15">
        <f t="shared" si="9"/>
        <v>10</v>
      </c>
      <c r="Z15" s="15">
        <f t="shared" si="10"/>
        <v>10</v>
      </c>
      <c r="AA15" s="16">
        <f t="shared" si="11"/>
        <v>60</v>
      </c>
      <c r="AB15" s="16" t="str">
        <f t="shared" si="12"/>
        <v>Amber</v>
      </c>
      <c r="AC15" s="2"/>
    </row>
    <row r="16" spans="1:29" ht="17.25" customHeight="1" thickBot="1" x14ac:dyDescent="0.35">
      <c r="A16" t="s">
        <v>31</v>
      </c>
      <c r="C16" s="2">
        <v>4</v>
      </c>
      <c r="D16" s="2">
        <v>0</v>
      </c>
      <c r="E16" s="2">
        <v>0</v>
      </c>
      <c r="F16" s="2">
        <v>0</v>
      </c>
      <c r="G16" s="2">
        <v>0</v>
      </c>
      <c r="H16" s="2">
        <v>3</v>
      </c>
      <c r="I16" s="2">
        <v>4</v>
      </c>
      <c r="J16" s="2">
        <v>0</v>
      </c>
      <c r="K16" s="2">
        <v>0</v>
      </c>
      <c r="L16" s="2">
        <v>1</v>
      </c>
      <c r="M16" s="2">
        <v>12</v>
      </c>
      <c r="N16" s="2">
        <v>885000</v>
      </c>
      <c r="O16" s="2">
        <v>3</v>
      </c>
      <c r="P16" s="13">
        <f t="shared" si="0"/>
        <v>7</v>
      </c>
      <c r="Q16" s="14">
        <f t="shared" si="1"/>
        <v>1.75</v>
      </c>
      <c r="R16" s="14">
        <f t="shared" si="2"/>
        <v>0.25</v>
      </c>
      <c r="S16" s="14">
        <f t="shared" si="3"/>
        <v>3</v>
      </c>
      <c r="T16" s="15">
        <f t="shared" si="4"/>
        <v>15</v>
      </c>
      <c r="U16" s="15">
        <f t="shared" si="5"/>
        <v>10</v>
      </c>
      <c r="V16" s="15">
        <f t="shared" si="6"/>
        <v>20</v>
      </c>
      <c r="W16" s="15">
        <f t="shared" si="7"/>
        <v>0</v>
      </c>
      <c r="X16" s="15">
        <f t="shared" si="8"/>
        <v>10</v>
      </c>
      <c r="Y16" s="15">
        <f t="shared" si="9"/>
        <v>10</v>
      </c>
      <c r="Z16" s="15">
        <f t="shared" si="10"/>
        <v>0</v>
      </c>
      <c r="AA16" s="16">
        <f t="shared" si="11"/>
        <v>65</v>
      </c>
      <c r="AB16" s="16" t="str">
        <f t="shared" si="12"/>
        <v>Amber</v>
      </c>
      <c r="AC16" s="1"/>
    </row>
    <row r="17" spans="1:29" ht="17.25" customHeight="1" thickBot="1" x14ac:dyDescent="0.35">
      <c r="A17" t="s">
        <v>29</v>
      </c>
      <c r="C17" s="2">
        <v>4</v>
      </c>
      <c r="D17" s="2">
        <v>0</v>
      </c>
      <c r="E17" s="2">
        <v>0</v>
      </c>
      <c r="F17" s="2">
        <v>0</v>
      </c>
      <c r="G17" s="2">
        <v>0</v>
      </c>
      <c r="H17" s="2">
        <v>6</v>
      </c>
      <c r="I17" s="2">
        <v>0</v>
      </c>
      <c r="J17" s="2">
        <v>4</v>
      </c>
      <c r="K17" s="2">
        <v>4</v>
      </c>
      <c r="L17" s="2">
        <v>0</v>
      </c>
      <c r="M17" s="2">
        <v>9</v>
      </c>
      <c r="N17" s="2">
        <v>1133300</v>
      </c>
      <c r="O17" s="2">
        <v>30</v>
      </c>
      <c r="P17" s="13">
        <f t="shared" si="0"/>
        <v>6</v>
      </c>
      <c r="Q17" s="14">
        <f t="shared" si="1"/>
        <v>1.5</v>
      </c>
      <c r="R17" s="14">
        <f t="shared" si="2"/>
        <v>0</v>
      </c>
      <c r="S17" s="14">
        <f t="shared" si="3"/>
        <v>2.25</v>
      </c>
      <c r="T17" s="15">
        <f t="shared" si="4"/>
        <v>15</v>
      </c>
      <c r="U17" s="15">
        <f t="shared" si="5"/>
        <v>10</v>
      </c>
      <c r="V17" s="15">
        <f t="shared" si="6"/>
        <v>20</v>
      </c>
      <c r="W17" s="15">
        <f t="shared" si="7"/>
        <v>0</v>
      </c>
      <c r="X17" s="15">
        <f t="shared" si="8"/>
        <v>0</v>
      </c>
      <c r="Y17" s="15">
        <f t="shared" si="9"/>
        <v>10</v>
      </c>
      <c r="Z17" s="15">
        <f t="shared" si="10"/>
        <v>10</v>
      </c>
      <c r="AA17" s="16">
        <f t="shared" si="11"/>
        <v>65</v>
      </c>
      <c r="AB17" s="16" t="str">
        <f t="shared" si="12"/>
        <v>Amber</v>
      </c>
      <c r="AC17" s="1"/>
    </row>
    <row r="18" spans="1:29" ht="33" customHeight="1" thickBot="1" x14ac:dyDescent="0.35">
      <c r="A18" t="s">
        <v>30</v>
      </c>
      <c r="C18" s="1">
        <v>4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3</v>
      </c>
      <c r="J18" s="1">
        <v>1</v>
      </c>
      <c r="K18" s="1">
        <v>4</v>
      </c>
      <c r="L18" s="1">
        <v>0</v>
      </c>
      <c r="M18" s="1">
        <v>9</v>
      </c>
      <c r="N18" s="1">
        <v>289000</v>
      </c>
      <c r="O18" s="1">
        <v>3</v>
      </c>
      <c r="P18" s="13">
        <f t="shared" si="0"/>
        <v>5</v>
      </c>
      <c r="Q18" s="14">
        <f t="shared" si="1"/>
        <v>1.25</v>
      </c>
      <c r="R18" s="14">
        <f t="shared" si="2"/>
        <v>0</v>
      </c>
      <c r="S18" s="14">
        <f t="shared" si="3"/>
        <v>2.25</v>
      </c>
      <c r="T18" s="15">
        <f t="shared" si="4"/>
        <v>15</v>
      </c>
      <c r="U18" s="15">
        <f t="shared" si="5"/>
        <v>10</v>
      </c>
      <c r="V18" s="15">
        <f t="shared" si="6"/>
        <v>20</v>
      </c>
      <c r="W18" s="15">
        <f t="shared" si="7"/>
        <v>0</v>
      </c>
      <c r="X18" s="15">
        <f t="shared" si="8"/>
        <v>0</v>
      </c>
      <c r="Y18" s="15">
        <f t="shared" si="9"/>
        <v>10</v>
      </c>
      <c r="Z18" s="15">
        <f t="shared" si="10"/>
        <v>0</v>
      </c>
      <c r="AA18" s="16">
        <f t="shared" si="11"/>
        <v>55</v>
      </c>
      <c r="AB18" s="16" t="str">
        <f t="shared" si="12"/>
        <v>Amber</v>
      </c>
      <c r="AC18" s="2"/>
    </row>
    <row r="19" spans="1:29" ht="17.25" customHeight="1" thickBot="1" x14ac:dyDescent="0.35">
      <c r="A19" t="s">
        <v>32</v>
      </c>
      <c r="C19" s="3">
        <v>4</v>
      </c>
      <c r="D19" s="3">
        <v>0</v>
      </c>
      <c r="E19" s="3">
        <v>0</v>
      </c>
      <c r="F19" s="3">
        <v>0</v>
      </c>
      <c r="G19" s="3">
        <v>0</v>
      </c>
      <c r="H19" s="3">
        <v>4</v>
      </c>
      <c r="I19" s="3">
        <v>2</v>
      </c>
      <c r="J19" s="3">
        <v>20</v>
      </c>
      <c r="K19" s="3">
        <v>12</v>
      </c>
      <c r="L19" s="3">
        <v>0</v>
      </c>
      <c r="M19" s="3">
        <v>8</v>
      </c>
      <c r="N19" s="3">
        <v>384200</v>
      </c>
      <c r="O19" s="3">
        <v>54</v>
      </c>
      <c r="P19" s="13">
        <f t="shared" si="0"/>
        <v>6</v>
      </c>
      <c r="Q19" s="14">
        <f t="shared" si="1"/>
        <v>1.5</v>
      </c>
      <c r="R19" s="14">
        <f t="shared" si="2"/>
        <v>0</v>
      </c>
      <c r="S19" s="14">
        <f t="shared" si="3"/>
        <v>2</v>
      </c>
      <c r="T19" s="15">
        <f t="shared" si="4"/>
        <v>15</v>
      </c>
      <c r="U19" s="15">
        <f t="shared" si="5"/>
        <v>10</v>
      </c>
      <c r="V19" s="15">
        <f t="shared" si="6"/>
        <v>20</v>
      </c>
      <c r="W19" s="15">
        <f t="shared" si="7"/>
        <v>0</v>
      </c>
      <c r="X19" s="15">
        <f t="shared" si="8"/>
        <v>0</v>
      </c>
      <c r="Y19" s="15">
        <f t="shared" si="9"/>
        <v>10</v>
      </c>
      <c r="Z19" s="15">
        <f t="shared" si="10"/>
        <v>10</v>
      </c>
      <c r="AA19" s="16">
        <f t="shared" si="11"/>
        <v>65</v>
      </c>
      <c r="AB19" s="16" t="str">
        <f t="shared" si="12"/>
        <v>Amber</v>
      </c>
      <c r="AC19" s="2"/>
    </row>
    <row r="20" spans="1:29" ht="17.25" customHeight="1" thickBot="1" x14ac:dyDescent="0.35">
      <c r="A20" t="s">
        <v>18</v>
      </c>
      <c r="C20" s="1">
        <v>4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2</v>
      </c>
      <c r="J20" s="1">
        <v>1</v>
      </c>
      <c r="K20" s="1">
        <v>1</v>
      </c>
      <c r="L20" s="1">
        <v>0</v>
      </c>
      <c r="M20" s="1">
        <v>4</v>
      </c>
      <c r="N20" s="1">
        <v>6170000</v>
      </c>
      <c r="O20" s="1">
        <v>5</v>
      </c>
      <c r="P20" s="13">
        <f t="shared" si="0"/>
        <v>3</v>
      </c>
      <c r="Q20" s="14">
        <f t="shared" si="1"/>
        <v>0.75</v>
      </c>
      <c r="R20" s="14">
        <f t="shared" si="2"/>
        <v>0</v>
      </c>
      <c r="S20" s="14">
        <f t="shared" si="3"/>
        <v>1</v>
      </c>
      <c r="T20" s="15">
        <f t="shared" si="4"/>
        <v>15</v>
      </c>
      <c r="U20" s="15">
        <f t="shared" si="5"/>
        <v>10</v>
      </c>
      <c r="V20" s="15">
        <f t="shared" si="6"/>
        <v>10</v>
      </c>
      <c r="W20" s="15">
        <f t="shared" si="7"/>
        <v>0</v>
      </c>
      <c r="X20" s="15">
        <f t="shared" si="8"/>
        <v>0</v>
      </c>
      <c r="Y20" s="15">
        <f t="shared" si="9"/>
        <v>5</v>
      </c>
      <c r="Z20" s="15">
        <f t="shared" si="10"/>
        <v>0</v>
      </c>
      <c r="AA20" s="16">
        <f t="shared" si="11"/>
        <v>40</v>
      </c>
      <c r="AB20" s="16" t="str">
        <f t="shared" si="12"/>
        <v>Red</v>
      </c>
      <c r="AC20" s="1"/>
    </row>
    <row r="21" spans="1:29" ht="17.25" customHeight="1" thickBot="1" x14ac:dyDescent="0.35">
      <c r="A21" t="s">
        <v>22</v>
      </c>
      <c r="C21" s="1">
        <v>3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7</v>
      </c>
      <c r="J21" s="1">
        <v>1</v>
      </c>
      <c r="K21" s="1">
        <v>4</v>
      </c>
      <c r="L21" s="1">
        <v>1</v>
      </c>
      <c r="M21" s="1">
        <v>11</v>
      </c>
      <c r="N21" s="1">
        <v>6664000</v>
      </c>
      <c r="O21" s="1">
        <v>6</v>
      </c>
      <c r="P21" s="13">
        <f t="shared" si="0"/>
        <v>8</v>
      </c>
      <c r="Q21" s="14">
        <f t="shared" si="1"/>
        <v>2</v>
      </c>
      <c r="R21" s="14">
        <f t="shared" si="2"/>
        <v>0.25</v>
      </c>
      <c r="S21" s="14">
        <f t="shared" si="3"/>
        <v>2.75</v>
      </c>
      <c r="T21" s="15">
        <f t="shared" si="4"/>
        <v>15</v>
      </c>
      <c r="U21" s="15">
        <f t="shared" si="5"/>
        <v>10</v>
      </c>
      <c r="V21" s="15">
        <f t="shared" si="6"/>
        <v>20</v>
      </c>
      <c r="W21" s="15">
        <f t="shared" si="7"/>
        <v>0</v>
      </c>
      <c r="X21" s="15">
        <f t="shared" si="8"/>
        <v>10</v>
      </c>
      <c r="Y21" s="15">
        <f t="shared" si="9"/>
        <v>10</v>
      </c>
      <c r="Z21" s="15">
        <f t="shared" si="10"/>
        <v>0</v>
      </c>
      <c r="AA21" s="16">
        <f t="shared" si="11"/>
        <v>65</v>
      </c>
      <c r="AB21" s="16" t="str">
        <f t="shared" si="12"/>
        <v>Amber</v>
      </c>
      <c r="AC21" s="2"/>
    </row>
    <row r="22" spans="1:29" ht="17.25" customHeight="1" thickBot="1" x14ac:dyDescent="0.35">
      <c r="A22" t="s">
        <v>19</v>
      </c>
      <c r="C22" s="2">
        <v>4</v>
      </c>
      <c r="D22" s="2">
        <v>0</v>
      </c>
      <c r="E22" s="2">
        <v>0</v>
      </c>
      <c r="F22" s="2">
        <v>0</v>
      </c>
      <c r="G22" s="2">
        <v>0</v>
      </c>
      <c r="H22" s="2">
        <v>4</v>
      </c>
      <c r="I22" s="2">
        <v>2</v>
      </c>
      <c r="J22" s="2">
        <v>0</v>
      </c>
      <c r="K22" s="2">
        <v>0</v>
      </c>
      <c r="L22" s="2">
        <v>1</v>
      </c>
      <c r="M22" s="2">
        <v>9</v>
      </c>
      <c r="N22" s="2">
        <v>2040000</v>
      </c>
      <c r="O22" s="2">
        <v>34</v>
      </c>
      <c r="P22" s="13">
        <f t="shared" si="0"/>
        <v>6</v>
      </c>
      <c r="Q22" s="14">
        <f t="shared" si="1"/>
        <v>1.5</v>
      </c>
      <c r="R22" s="14">
        <f t="shared" si="2"/>
        <v>0.25</v>
      </c>
      <c r="S22" s="14">
        <f t="shared" si="3"/>
        <v>2.25</v>
      </c>
      <c r="T22" s="15">
        <f t="shared" si="4"/>
        <v>15</v>
      </c>
      <c r="U22" s="15">
        <f t="shared" si="5"/>
        <v>10</v>
      </c>
      <c r="V22" s="15">
        <f t="shared" si="6"/>
        <v>20</v>
      </c>
      <c r="W22" s="15">
        <f t="shared" si="7"/>
        <v>0</v>
      </c>
      <c r="X22" s="15">
        <f t="shared" si="8"/>
        <v>10</v>
      </c>
      <c r="Y22" s="15">
        <f t="shared" si="9"/>
        <v>10</v>
      </c>
      <c r="Z22" s="15">
        <f t="shared" si="10"/>
        <v>10</v>
      </c>
      <c r="AA22" s="16">
        <f t="shared" si="11"/>
        <v>75</v>
      </c>
      <c r="AB22" s="16" t="str">
        <f t="shared" si="12"/>
        <v>Green</v>
      </c>
      <c r="AC22" s="1"/>
    </row>
    <row r="23" spans="1:29" ht="33" customHeight="1" thickBot="1" x14ac:dyDescent="0.35">
      <c r="A23" t="s">
        <v>20</v>
      </c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2</v>
      </c>
      <c r="J23" s="1">
        <v>0</v>
      </c>
      <c r="K23" s="1">
        <v>1</v>
      </c>
      <c r="L23" s="1">
        <v>0</v>
      </c>
      <c r="M23" s="1">
        <v>6</v>
      </c>
      <c r="N23" s="1">
        <v>3000000</v>
      </c>
      <c r="O23" s="1">
        <v>0</v>
      </c>
      <c r="P23" s="13">
        <f t="shared" si="0"/>
        <v>2</v>
      </c>
      <c r="Q23" s="14">
        <f t="shared" si="1"/>
        <v>0.5</v>
      </c>
      <c r="R23" s="14">
        <f t="shared" si="2"/>
        <v>0</v>
      </c>
      <c r="S23" s="14">
        <f t="shared" si="3"/>
        <v>1.5</v>
      </c>
      <c r="T23" s="15">
        <f t="shared" si="4"/>
        <v>15</v>
      </c>
      <c r="U23" s="15">
        <f t="shared" si="5"/>
        <v>10</v>
      </c>
      <c r="V23" s="15">
        <f t="shared" si="6"/>
        <v>5</v>
      </c>
      <c r="W23" s="15">
        <f t="shared" si="7"/>
        <v>0</v>
      </c>
      <c r="X23" s="15">
        <f t="shared" si="8"/>
        <v>0</v>
      </c>
      <c r="Y23" s="15">
        <f t="shared" si="9"/>
        <v>5</v>
      </c>
      <c r="Z23" s="15">
        <f t="shared" si="10"/>
        <v>0</v>
      </c>
      <c r="AA23" s="16">
        <f t="shared" si="11"/>
        <v>35</v>
      </c>
      <c r="AB23" s="16" t="str">
        <f t="shared" si="12"/>
        <v>Red</v>
      </c>
      <c r="AC23" s="2"/>
    </row>
    <row r="24" spans="1:29" ht="17.25" customHeight="1" thickBot="1" x14ac:dyDescent="0.35">
      <c r="A24" t="s">
        <v>21</v>
      </c>
      <c r="C24" s="2">
        <v>4</v>
      </c>
      <c r="D24" s="2">
        <v>0</v>
      </c>
      <c r="E24" s="2">
        <v>0</v>
      </c>
      <c r="F24" s="2">
        <v>0</v>
      </c>
      <c r="G24" s="2">
        <v>0</v>
      </c>
      <c r="H24" s="2">
        <v>4</v>
      </c>
      <c r="I24" s="2">
        <v>5</v>
      </c>
      <c r="J24" s="2">
        <v>3</v>
      </c>
      <c r="K24" s="2">
        <v>1</v>
      </c>
      <c r="L24" s="2">
        <v>1</v>
      </c>
      <c r="M24" s="2">
        <v>20</v>
      </c>
      <c r="N24" s="2">
        <v>2522600</v>
      </c>
      <c r="O24" s="2">
        <v>0</v>
      </c>
      <c r="P24" s="13">
        <f t="shared" si="0"/>
        <v>9</v>
      </c>
      <c r="Q24" s="14">
        <f t="shared" si="1"/>
        <v>2.25</v>
      </c>
      <c r="R24" s="14">
        <f t="shared" si="2"/>
        <v>0.25</v>
      </c>
      <c r="S24" s="14">
        <f t="shared" si="3"/>
        <v>5</v>
      </c>
      <c r="T24" s="15">
        <f t="shared" si="4"/>
        <v>15</v>
      </c>
      <c r="U24" s="15">
        <f t="shared" si="5"/>
        <v>10</v>
      </c>
      <c r="V24" s="15">
        <f t="shared" si="6"/>
        <v>20</v>
      </c>
      <c r="W24" s="15">
        <f t="shared" si="7"/>
        <v>0</v>
      </c>
      <c r="X24" s="15">
        <f t="shared" si="8"/>
        <v>10</v>
      </c>
      <c r="Y24" s="15">
        <f t="shared" si="9"/>
        <v>10</v>
      </c>
      <c r="Z24" s="15">
        <f t="shared" si="10"/>
        <v>0</v>
      </c>
      <c r="AA24" s="16">
        <f t="shared" si="11"/>
        <v>65</v>
      </c>
      <c r="AB24" s="16" t="str">
        <f t="shared" si="12"/>
        <v>Amber</v>
      </c>
      <c r="AC24" s="1"/>
    </row>
    <row r="25" spans="1:29" ht="17.25" customHeight="1" thickBot="1" x14ac:dyDescent="0.35">
      <c r="A25" t="s">
        <v>24</v>
      </c>
      <c r="C25" s="1">
        <v>4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3</v>
      </c>
      <c r="J25" s="1">
        <v>3</v>
      </c>
      <c r="K25" s="1">
        <v>5</v>
      </c>
      <c r="L25" s="1">
        <v>0</v>
      </c>
      <c r="M25" s="1">
        <v>4</v>
      </c>
      <c r="N25" s="1">
        <v>2000</v>
      </c>
      <c r="O25" s="1">
        <v>3</v>
      </c>
      <c r="P25" s="13">
        <f t="shared" si="0"/>
        <v>4</v>
      </c>
      <c r="Q25" s="14">
        <f t="shared" si="1"/>
        <v>1</v>
      </c>
      <c r="R25" s="14">
        <f t="shared" si="2"/>
        <v>0</v>
      </c>
      <c r="S25" s="14">
        <f t="shared" si="3"/>
        <v>1</v>
      </c>
      <c r="T25" s="15">
        <f t="shared" si="4"/>
        <v>15</v>
      </c>
      <c r="U25" s="15">
        <f t="shared" si="5"/>
        <v>10</v>
      </c>
      <c r="V25" s="15">
        <f t="shared" si="6"/>
        <v>15</v>
      </c>
      <c r="W25" s="15">
        <f t="shared" si="7"/>
        <v>0</v>
      </c>
      <c r="X25" s="15">
        <f t="shared" si="8"/>
        <v>0</v>
      </c>
      <c r="Y25" s="15">
        <f t="shared" si="9"/>
        <v>5</v>
      </c>
      <c r="Z25" s="15">
        <f t="shared" si="10"/>
        <v>0</v>
      </c>
      <c r="AA25" s="16">
        <f t="shared" si="11"/>
        <v>45</v>
      </c>
      <c r="AB25" s="16" t="str">
        <f t="shared" si="12"/>
        <v>Red</v>
      </c>
      <c r="AC25" s="1"/>
    </row>
    <row r="26" spans="1:29" ht="17.25" customHeight="1" thickBot="1" x14ac:dyDescent="0.35">
      <c r="A26" t="s">
        <v>23</v>
      </c>
      <c r="C26" s="2">
        <v>4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2</v>
      </c>
      <c r="J26" s="2">
        <v>13</v>
      </c>
      <c r="K26" s="2">
        <v>9</v>
      </c>
      <c r="L26" s="2">
        <v>0</v>
      </c>
      <c r="M26" s="2">
        <v>4</v>
      </c>
      <c r="N26" s="2">
        <v>433000</v>
      </c>
      <c r="O26" s="2">
        <v>8</v>
      </c>
      <c r="P26" s="13">
        <f t="shared" si="0"/>
        <v>3</v>
      </c>
      <c r="Q26" s="14">
        <f t="shared" si="1"/>
        <v>0.75</v>
      </c>
      <c r="R26" s="14">
        <f t="shared" si="2"/>
        <v>0</v>
      </c>
      <c r="S26" s="14">
        <f t="shared" si="3"/>
        <v>1</v>
      </c>
      <c r="T26" s="15">
        <f t="shared" si="4"/>
        <v>15</v>
      </c>
      <c r="U26" s="15">
        <f t="shared" si="5"/>
        <v>10</v>
      </c>
      <c r="V26" s="15">
        <f t="shared" si="6"/>
        <v>10</v>
      </c>
      <c r="W26" s="15">
        <f t="shared" si="7"/>
        <v>0</v>
      </c>
      <c r="X26" s="15">
        <f t="shared" si="8"/>
        <v>0</v>
      </c>
      <c r="Y26" s="15">
        <f t="shared" si="9"/>
        <v>5</v>
      </c>
      <c r="Z26" s="15">
        <f t="shared" si="10"/>
        <v>0</v>
      </c>
      <c r="AA26" s="16">
        <f t="shared" si="11"/>
        <v>40</v>
      </c>
      <c r="AB26" s="16" t="str">
        <f t="shared" si="12"/>
        <v>Red</v>
      </c>
      <c r="AC26" s="1"/>
    </row>
    <row r="27" spans="1:29" ht="17.25" customHeight="1" thickBot="1" x14ac:dyDescent="0.35">
      <c r="A27" t="s">
        <v>7</v>
      </c>
      <c r="C27" s="2">
        <v>4</v>
      </c>
      <c r="D27" s="2">
        <v>0</v>
      </c>
      <c r="E27" s="2">
        <v>0</v>
      </c>
      <c r="F27" s="2">
        <v>0</v>
      </c>
      <c r="G27" s="2">
        <v>0</v>
      </c>
      <c r="H27" s="2">
        <v>4</v>
      </c>
      <c r="I27" s="2">
        <v>1</v>
      </c>
      <c r="J27" s="2">
        <v>1</v>
      </c>
      <c r="K27" s="2">
        <v>4</v>
      </c>
      <c r="L27" s="2">
        <v>0</v>
      </c>
      <c r="M27" s="2">
        <v>4</v>
      </c>
      <c r="N27" s="2">
        <v>870000</v>
      </c>
      <c r="O27" s="2">
        <v>5</v>
      </c>
      <c r="P27" s="13">
        <f t="shared" si="0"/>
        <v>5</v>
      </c>
      <c r="Q27" s="14">
        <f t="shared" si="1"/>
        <v>1.25</v>
      </c>
      <c r="R27" s="14">
        <f t="shared" si="2"/>
        <v>0</v>
      </c>
      <c r="S27" s="14">
        <f t="shared" si="3"/>
        <v>1</v>
      </c>
      <c r="T27" s="15">
        <f t="shared" si="4"/>
        <v>15</v>
      </c>
      <c r="U27" s="15">
        <f t="shared" si="5"/>
        <v>10</v>
      </c>
      <c r="V27" s="15">
        <f t="shared" si="6"/>
        <v>20</v>
      </c>
      <c r="W27" s="15">
        <f t="shared" si="7"/>
        <v>0</v>
      </c>
      <c r="X27" s="15">
        <f t="shared" si="8"/>
        <v>0</v>
      </c>
      <c r="Y27" s="15">
        <f t="shared" si="9"/>
        <v>5</v>
      </c>
      <c r="Z27" s="15">
        <f t="shared" si="10"/>
        <v>0</v>
      </c>
      <c r="AA27" s="16">
        <f t="shared" si="11"/>
        <v>50</v>
      </c>
      <c r="AB27" s="16" t="str">
        <f t="shared" si="12"/>
        <v>Amber</v>
      </c>
      <c r="AC27" s="1"/>
    </row>
    <row r="28" spans="1:29" ht="17.25" customHeight="1" thickBot="1" x14ac:dyDescent="0.35">
      <c r="A28" t="s">
        <v>8</v>
      </c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4</v>
      </c>
      <c r="J28" s="1">
        <v>1</v>
      </c>
      <c r="K28" s="1">
        <v>4</v>
      </c>
      <c r="L28" s="1">
        <v>0</v>
      </c>
      <c r="M28" s="1">
        <v>7</v>
      </c>
      <c r="N28" s="1">
        <v>2553000</v>
      </c>
      <c r="O28" s="1">
        <v>6</v>
      </c>
      <c r="P28" s="13">
        <f t="shared" si="0"/>
        <v>6</v>
      </c>
      <c r="Q28" s="14">
        <f t="shared" si="1"/>
        <v>1.5</v>
      </c>
      <c r="R28" s="14">
        <f t="shared" si="2"/>
        <v>0</v>
      </c>
      <c r="S28" s="14">
        <f t="shared" si="3"/>
        <v>1.75</v>
      </c>
      <c r="T28" s="15">
        <f t="shared" si="4"/>
        <v>15</v>
      </c>
      <c r="U28" s="15">
        <f t="shared" si="5"/>
        <v>10</v>
      </c>
      <c r="V28" s="15">
        <f t="shared" si="6"/>
        <v>20</v>
      </c>
      <c r="W28" s="15">
        <f t="shared" si="7"/>
        <v>0</v>
      </c>
      <c r="X28" s="15">
        <f t="shared" si="8"/>
        <v>0</v>
      </c>
      <c r="Y28" s="15">
        <f t="shared" si="9"/>
        <v>5</v>
      </c>
      <c r="Z28" s="15">
        <f t="shared" si="10"/>
        <v>0</v>
      </c>
      <c r="AA28" s="16">
        <f t="shared" si="11"/>
        <v>50</v>
      </c>
      <c r="AB28" s="16" t="str">
        <f t="shared" si="12"/>
        <v>Amber</v>
      </c>
      <c r="AC28" s="1"/>
    </row>
    <row r="29" spans="1:29" ht="17.25" customHeight="1" thickBot="1" x14ac:dyDescent="0.35">
      <c r="A29" t="s">
        <v>0</v>
      </c>
      <c r="C29" s="1">
        <v>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3">
        <f t="shared" si="0"/>
        <v>0</v>
      </c>
      <c r="Q29" s="14">
        <f t="shared" si="1"/>
        <v>0</v>
      </c>
      <c r="R29" s="14">
        <f t="shared" si="2"/>
        <v>0</v>
      </c>
      <c r="S29" s="14">
        <f t="shared" si="3"/>
        <v>0</v>
      </c>
      <c r="T29" s="15">
        <f t="shared" si="4"/>
        <v>15</v>
      </c>
      <c r="U29" s="15">
        <f t="shared" si="5"/>
        <v>10</v>
      </c>
      <c r="V29" s="15">
        <f t="shared" si="6"/>
        <v>0</v>
      </c>
      <c r="W29" s="15">
        <f t="shared" si="7"/>
        <v>0</v>
      </c>
      <c r="X29" s="15">
        <f t="shared" si="8"/>
        <v>0</v>
      </c>
      <c r="Y29" s="15">
        <f t="shared" si="9"/>
        <v>0</v>
      </c>
      <c r="Z29" s="15">
        <f t="shared" si="10"/>
        <v>0</v>
      </c>
      <c r="AA29" s="16">
        <f t="shared" si="11"/>
        <v>25</v>
      </c>
      <c r="AB29" s="16" t="str">
        <f t="shared" si="12"/>
        <v>Grey</v>
      </c>
      <c r="AC29" s="1"/>
    </row>
    <row r="30" spans="1:29" ht="33" customHeight="1" thickBot="1" x14ac:dyDescent="0.35">
      <c r="A30" t="s">
        <v>6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>
        <v>3</v>
      </c>
      <c r="I30" s="1">
        <v>15</v>
      </c>
      <c r="J30" s="1">
        <v>1</v>
      </c>
      <c r="K30" s="1">
        <v>9</v>
      </c>
      <c r="L30" s="1">
        <v>0</v>
      </c>
      <c r="M30" s="1">
        <v>11</v>
      </c>
      <c r="N30" s="1">
        <v>517509700</v>
      </c>
      <c r="O30" s="1">
        <v>9</v>
      </c>
      <c r="P30" s="13">
        <f t="shared" si="0"/>
        <v>18</v>
      </c>
      <c r="Q30" s="14">
        <f t="shared" si="1"/>
        <v>4.5</v>
      </c>
      <c r="R30" s="14">
        <f t="shared" si="2"/>
        <v>0</v>
      </c>
      <c r="S30" s="14">
        <f t="shared" si="3"/>
        <v>2.75</v>
      </c>
      <c r="T30" s="15">
        <f t="shared" si="4"/>
        <v>15</v>
      </c>
      <c r="U30" s="15">
        <f t="shared" si="5"/>
        <v>10</v>
      </c>
      <c r="V30" s="15">
        <f t="shared" si="6"/>
        <v>20</v>
      </c>
      <c r="W30" s="15">
        <f t="shared" si="7"/>
        <v>15</v>
      </c>
      <c r="X30" s="15">
        <f t="shared" si="8"/>
        <v>0</v>
      </c>
      <c r="Y30" s="15">
        <f t="shared" si="9"/>
        <v>10</v>
      </c>
      <c r="Z30" s="15">
        <f t="shared" si="10"/>
        <v>0</v>
      </c>
      <c r="AA30" s="16">
        <f t="shared" si="11"/>
        <v>70</v>
      </c>
      <c r="AB30" s="16" t="str">
        <f t="shared" si="12"/>
        <v>Green</v>
      </c>
      <c r="AC30" s="2"/>
    </row>
    <row r="31" spans="1:29" ht="33" customHeight="1" thickBot="1" x14ac:dyDescent="0.35">
      <c r="A31" t="s">
        <v>1</v>
      </c>
      <c r="C31" s="2">
        <v>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7</v>
      </c>
      <c r="J31" s="2">
        <v>6</v>
      </c>
      <c r="K31" s="2">
        <v>6</v>
      </c>
      <c r="L31" s="2">
        <v>0</v>
      </c>
      <c r="M31" s="2">
        <v>10</v>
      </c>
      <c r="N31" s="2">
        <v>1880000</v>
      </c>
      <c r="O31" s="2">
        <v>15</v>
      </c>
      <c r="P31" s="13">
        <f t="shared" si="0"/>
        <v>7</v>
      </c>
      <c r="Q31" s="14">
        <f t="shared" si="1"/>
        <v>1.75</v>
      </c>
      <c r="R31" s="14">
        <f t="shared" si="2"/>
        <v>0</v>
      </c>
      <c r="S31" s="14">
        <f t="shared" si="3"/>
        <v>2.5</v>
      </c>
      <c r="T31" s="15">
        <f t="shared" si="4"/>
        <v>15</v>
      </c>
      <c r="U31" s="15">
        <f t="shared" si="5"/>
        <v>10</v>
      </c>
      <c r="V31" s="15">
        <f t="shared" si="6"/>
        <v>20</v>
      </c>
      <c r="W31" s="15">
        <f t="shared" si="7"/>
        <v>0</v>
      </c>
      <c r="X31" s="15">
        <f t="shared" si="8"/>
        <v>0</v>
      </c>
      <c r="Y31" s="15">
        <f t="shared" si="9"/>
        <v>10</v>
      </c>
      <c r="Z31" s="15">
        <f t="shared" si="10"/>
        <v>5</v>
      </c>
      <c r="AA31" s="16">
        <f t="shared" si="11"/>
        <v>60</v>
      </c>
      <c r="AB31" s="16" t="str">
        <f t="shared" si="12"/>
        <v>Amber</v>
      </c>
      <c r="AC31" s="1"/>
    </row>
    <row r="32" spans="1:29" ht="33" customHeight="1" thickBot="1" x14ac:dyDescent="0.35">
      <c r="A32" t="s">
        <v>2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2</v>
      </c>
      <c r="I32" s="1">
        <v>2</v>
      </c>
      <c r="J32" s="1">
        <v>1</v>
      </c>
      <c r="K32" s="1">
        <v>2</v>
      </c>
      <c r="L32" s="1">
        <v>0</v>
      </c>
      <c r="M32" s="1">
        <v>3</v>
      </c>
      <c r="N32" s="1">
        <v>1542600</v>
      </c>
      <c r="O32" s="1">
        <v>0</v>
      </c>
      <c r="P32" s="13">
        <f t="shared" si="0"/>
        <v>4</v>
      </c>
      <c r="Q32" s="14">
        <f t="shared" si="1"/>
        <v>1</v>
      </c>
      <c r="R32" s="14">
        <f t="shared" si="2"/>
        <v>0</v>
      </c>
      <c r="S32" s="14">
        <f t="shared" si="3"/>
        <v>0.75</v>
      </c>
      <c r="T32" s="15">
        <f t="shared" si="4"/>
        <v>15</v>
      </c>
      <c r="U32" s="15">
        <f t="shared" si="5"/>
        <v>10</v>
      </c>
      <c r="V32" s="15">
        <f t="shared" si="6"/>
        <v>15</v>
      </c>
      <c r="W32" s="15">
        <f t="shared" si="7"/>
        <v>0</v>
      </c>
      <c r="X32" s="15">
        <f t="shared" si="8"/>
        <v>0</v>
      </c>
      <c r="Y32" s="15">
        <f t="shared" si="9"/>
        <v>0</v>
      </c>
      <c r="Z32" s="15">
        <f t="shared" si="10"/>
        <v>0</v>
      </c>
      <c r="AA32" s="16">
        <f t="shared" si="11"/>
        <v>40</v>
      </c>
      <c r="AB32" s="16" t="str">
        <f t="shared" si="12"/>
        <v>Red</v>
      </c>
      <c r="AC32" s="2"/>
    </row>
    <row r="33" spans="1:29" ht="33" customHeight="1" thickBot="1" x14ac:dyDescent="0.35">
      <c r="A33" t="s">
        <v>3</v>
      </c>
      <c r="C33" s="2">
        <v>3</v>
      </c>
      <c r="D33" s="2">
        <v>0</v>
      </c>
      <c r="E33" s="2">
        <v>1</v>
      </c>
      <c r="F33" s="2">
        <v>0</v>
      </c>
      <c r="G33" s="2">
        <v>0</v>
      </c>
      <c r="H33" s="2">
        <v>7</v>
      </c>
      <c r="I33" s="2">
        <v>0</v>
      </c>
      <c r="J33" s="2">
        <v>0</v>
      </c>
      <c r="K33" s="2">
        <v>0</v>
      </c>
      <c r="L33" s="2">
        <v>0</v>
      </c>
      <c r="M33" s="2">
        <v>5</v>
      </c>
      <c r="N33" s="2">
        <v>103430000</v>
      </c>
      <c r="O33" s="2">
        <v>0</v>
      </c>
      <c r="P33" s="13">
        <f t="shared" si="0"/>
        <v>7</v>
      </c>
      <c r="Q33" s="14">
        <f t="shared" si="1"/>
        <v>1.75</v>
      </c>
      <c r="R33" s="14">
        <f t="shared" si="2"/>
        <v>0</v>
      </c>
      <c r="S33" s="14">
        <f t="shared" si="3"/>
        <v>1.25</v>
      </c>
      <c r="T33" s="15">
        <f t="shared" si="4"/>
        <v>15</v>
      </c>
      <c r="U33" s="15">
        <f t="shared" si="5"/>
        <v>5</v>
      </c>
      <c r="V33" s="15">
        <f t="shared" si="6"/>
        <v>20</v>
      </c>
      <c r="W33" s="15">
        <f t="shared" si="7"/>
        <v>15</v>
      </c>
      <c r="X33" s="15">
        <f t="shared" si="8"/>
        <v>0</v>
      </c>
      <c r="Y33" s="15">
        <f t="shared" si="9"/>
        <v>5</v>
      </c>
      <c r="Z33" s="15">
        <f t="shared" si="10"/>
        <v>0</v>
      </c>
      <c r="AA33" s="16">
        <f t="shared" si="11"/>
        <v>60</v>
      </c>
      <c r="AB33" s="16" t="str">
        <f t="shared" si="12"/>
        <v>Amber</v>
      </c>
      <c r="AC33" s="1"/>
    </row>
    <row r="34" spans="1:29" ht="33" customHeight="1" thickBot="1" x14ac:dyDescent="0.35">
      <c r="A34" t="s">
        <v>4</v>
      </c>
      <c r="C34" s="1">
        <v>3</v>
      </c>
      <c r="D34" s="1">
        <v>0</v>
      </c>
      <c r="E34" s="1">
        <v>0</v>
      </c>
      <c r="F34" s="1">
        <v>0</v>
      </c>
      <c r="G34" s="1">
        <v>1</v>
      </c>
      <c r="H34" s="1">
        <v>3</v>
      </c>
      <c r="I34" s="1">
        <v>0</v>
      </c>
      <c r="J34" s="1">
        <v>0</v>
      </c>
      <c r="K34" s="1">
        <v>1</v>
      </c>
      <c r="L34" s="1">
        <v>0</v>
      </c>
      <c r="M34" s="1">
        <v>3</v>
      </c>
      <c r="N34" s="1">
        <v>38000</v>
      </c>
      <c r="O34" s="1">
        <v>3</v>
      </c>
      <c r="P34" s="13">
        <f t="shared" si="0"/>
        <v>3</v>
      </c>
      <c r="Q34" s="14">
        <f t="shared" si="1"/>
        <v>0.75</v>
      </c>
      <c r="R34" s="14">
        <f t="shared" si="2"/>
        <v>0</v>
      </c>
      <c r="S34" s="14">
        <f t="shared" si="3"/>
        <v>0.75</v>
      </c>
      <c r="T34" s="15">
        <f t="shared" si="4"/>
        <v>15</v>
      </c>
      <c r="U34" s="15">
        <f t="shared" si="5"/>
        <v>10</v>
      </c>
      <c r="V34" s="15">
        <f t="shared" si="6"/>
        <v>10</v>
      </c>
      <c r="W34" s="15">
        <f t="shared" si="7"/>
        <v>0</v>
      </c>
      <c r="X34" s="15">
        <f t="shared" si="8"/>
        <v>0</v>
      </c>
      <c r="Y34" s="15">
        <f t="shared" si="9"/>
        <v>0</v>
      </c>
      <c r="Z34" s="15">
        <f t="shared" si="10"/>
        <v>0</v>
      </c>
      <c r="AA34" s="16">
        <f t="shared" si="11"/>
        <v>35</v>
      </c>
      <c r="AB34" s="16" t="str">
        <f t="shared" si="12"/>
        <v>Red</v>
      </c>
      <c r="AC34" s="1"/>
    </row>
    <row r="35" spans="1:29" ht="33" customHeight="1" thickBot="1" x14ac:dyDescent="0.35">
      <c r="A35" t="s">
        <v>5</v>
      </c>
      <c r="C35" s="2">
        <v>4</v>
      </c>
      <c r="D35" s="2">
        <v>0</v>
      </c>
      <c r="E35" s="2">
        <v>0</v>
      </c>
      <c r="F35" s="2">
        <v>0</v>
      </c>
      <c r="G35" s="2">
        <v>0</v>
      </c>
      <c r="H35" s="2">
        <v>3</v>
      </c>
      <c r="I35" s="2">
        <v>5</v>
      </c>
      <c r="J35" s="2">
        <v>3</v>
      </c>
      <c r="K35" s="2">
        <v>4</v>
      </c>
      <c r="L35" s="2">
        <v>2</v>
      </c>
      <c r="M35" s="2">
        <v>7</v>
      </c>
      <c r="N35" s="2">
        <v>385000</v>
      </c>
      <c r="O35" s="2">
        <v>17</v>
      </c>
      <c r="P35" s="13">
        <f t="shared" si="0"/>
        <v>8</v>
      </c>
      <c r="Q35" s="14">
        <f t="shared" si="1"/>
        <v>2</v>
      </c>
      <c r="R35" s="14">
        <f t="shared" si="2"/>
        <v>0.5</v>
      </c>
      <c r="S35" s="14">
        <f t="shared" si="3"/>
        <v>1.75</v>
      </c>
      <c r="T35" s="15">
        <f t="shared" si="4"/>
        <v>15</v>
      </c>
      <c r="U35" s="15">
        <f t="shared" si="5"/>
        <v>10</v>
      </c>
      <c r="V35" s="15">
        <f t="shared" si="6"/>
        <v>20</v>
      </c>
      <c r="W35" s="15">
        <f t="shared" si="7"/>
        <v>0</v>
      </c>
      <c r="X35" s="15">
        <f t="shared" si="8"/>
        <v>15</v>
      </c>
      <c r="Y35" s="15">
        <f t="shared" si="9"/>
        <v>5</v>
      </c>
      <c r="Z35" s="15">
        <f t="shared" si="10"/>
        <v>5</v>
      </c>
      <c r="AA35" s="16">
        <f t="shared" si="11"/>
        <v>70</v>
      </c>
      <c r="AB35" s="16" t="str">
        <f t="shared" si="12"/>
        <v>Green</v>
      </c>
      <c r="AC35" s="2"/>
    </row>
    <row r="36" spans="1:29" ht="17.25" thickBot="1" x14ac:dyDescent="0.35"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18"/>
      <c r="O36" s="2"/>
      <c r="P36" s="13">
        <f t="shared" ref="P36" si="13">H36+I36</f>
        <v>0</v>
      </c>
      <c r="Q36" s="14" t="e">
        <f t="shared" ref="Q36" si="14">P36/(C36+D36+E36+F36+G36)</f>
        <v>#DIV/0!</v>
      </c>
      <c r="R36" s="14" t="e">
        <f t="shared" ref="R36" si="15">L36/(C36+D36+E36+F36+G36)</f>
        <v>#DIV/0!</v>
      </c>
      <c r="S36" s="14" t="e">
        <f t="shared" ref="S36" si="16">M36/(C36+D36+E36+F36+G36)</f>
        <v>#DIV/0!</v>
      </c>
      <c r="T36" s="15">
        <f t="shared" ref="T36" si="17">IF(D36&gt;2,0,IF(D36=2,5,IF(D36=1,10,IF(D36&lt;1,15))))</f>
        <v>15</v>
      </c>
      <c r="U36" s="15">
        <f t="shared" ref="U36" si="18">IF(E36&gt;=2,0,IF(E36=1,5,IF(E36=0,10)))</f>
        <v>10</v>
      </c>
      <c r="V36" s="15" t="e">
        <f t="shared" ref="V36" si="19">IF(Q36&lt;0.5,0,IF(Q36&lt;0.75,5,IF(Q36&lt;1,10,IF(Q36&lt;1.2,15,IF(Q36&gt;=1.2,20)))))</f>
        <v>#DIV/0!</v>
      </c>
      <c r="W36" s="15">
        <f t="shared" ref="W36" si="20">IF(N36&lt;25000000,0,IF(N36&lt;50000000,5,IF(N36&lt;100000000,10,IF(N36&gt;=100000000,15))))</f>
        <v>0</v>
      </c>
      <c r="X36" s="15" t="e">
        <f t="shared" ref="X36" si="21">IF(R36&lt;0.1,0,IF(R36&lt;0.2,5,IF(R36&lt;0.4,10,IF(R36&lt;0.6,15,IF(R36&gt;=0.6,20)))))</f>
        <v>#DIV/0!</v>
      </c>
      <c r="Y36" s="15" t="e">
        <f t="shared" ref="Y36" si="22">IF(S36&lt;1,0,IF(S36&lt;2,5,IF(S36&gt;=2,10)))</f>
        <v>#DIV/0!</v>
      </c>
      <c r="Z36" s="15">
        <f t="shared" ref="Z36" si="23">IF(O36&lt;10,0,IF(O36&lt;20,5,IF(O36&gt;=20,10)))</f>
        <v>0</v>
      </c>
      <c r="AA36" s="16" t="e">
        <f t="shared" ref="AA36" si="24">SUM(T36:Z36)</f>
        <v>#DIV/0!</v>
      </c>
      <c r="AB36" s="16" t="e">
        <f t="shared" ref="AB36" si="25">IF(AA36&lt;30,"Grey",IF(AA36&lt;50,"Red",IF(AA36&lt;70,"Amber",IF(AA36&gt;=70,"Green"))))</f>
        <v>#DIV/0!</v>
      </c>
      <c r="AC36" s="2"/>
    </row>
  </sheetData>
  <autoFilter ref="A2:AB2" xr:uid="{E65110FE-A076-4B6A-82F9-B99AAD595202}">
    <sortState xmlns:xlrd2="http://schemas.microsoft.com/office/spreadsheetml/2017/richdata2" ref="A3:AB35">
      <sortCondition ref="A2"/>
    </sortState>
  </autoFilter>
  <phoneticPr fontId="5" type="noConversion"/>
  <conditionalFormatting sqref="AA3:AA36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08B8-FCCE-4104-A002-FEF0FB0F8489}">
  <dimension ref="A1:AC36"/>
  <sheetViews>
    <sheetView workbookViewId="0">
      <selection sqref="A1:XFD1048576"/>
    </sheetView>
  </sheetViews>
  <sheetFormatPr defaultRowHeight="16.5" x14ac:dyDescent="0.3"/>
  <cols>
    <col min="1" max="1" width="11.125" bestFit="1" customWidth="1"/>
    <col min="3" max="13" width="3.875" customWidth="1"/>
    <col min="14" max="14" width="10" bestFit="1" customWidth="1"/>
    <col min="15" max="15" width="5.125" customWidth="1"/>
    <col min="16" max="26" width="4.5" customWidth="1"/>
  </cols>
  <sheetData>
    <row r="1" spans="1:29" x14ac:dyDescent="0.3">
      <c r="A1" s="17" t="s">
        <v>61</v>
      </c>
    </row>
    <row r="2" spans="1:29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9" ht="33" customHeight="1" thickBot="1" x14ac:dyDescent="0.35">
      <c r="A3" t="s">
        <v>17</v>
      </c>
      <c r="C3" s="1">
        <v>5</v>
      </c>
      <c r="D3" s="1">
        <v>0</v>
      </c>
      <c r="E3" s="1">
        <v>0</v>
      </c>
      <c r="F3" s="1">
        <v>0</v>
      </c>
      <c r="G3" s="1">
        <v>0</v>
      </c>
      <c r="H3" s="1">
        <v>5</v>
      </c>
      <c r="I3" s="1">
        <v>5</v>
      </c>
      <c r="J3" s="1">
        <v>0</v>
      </c>
      <c r="K3" s="1">
        <v>7</v>
      </c>
      <c r="L3" s="1">
        <v>0</v>
      </c>
      <c r="M3" s="1">
        <v>13</v>
      </c>
      <c r="N3" s="1">
        <v>35810000</v>
      </c>
      <c r="O3" s="1">
        <v>5</v>
      </c>
      <c r="P3" s="13">
        <f t="shared" ref="P3:P33" si="0">H3+I3</f>
        <v>10</v>
      </c>
      <c r="Q3" s="14">
        <f t="shared" ref="Q3:Q33" si="1">P3/(C3+D3+E3+F3+G3)</f>
        <v>2</v>
      </c>
      <c r="R3" s="14">
        <f t="shared" ref="R3:R33" si="2">L3/(C3+D3+E3+F3+G3)</f>
        <v>0</v>
      </c>
      <c r="S3" s="14">
        <f t="shared" ref="S3:S33" si="3">M3/(C3+D3+E3+F3+G3)</f>
        <v>2.6</v>
      </c>
      <c r="T3" s="15">
        <f t="shared" ref="T3:T33" si="4">IF(D3&gt;2,0,IF(D3=2,5,IF(D3=1,10,IF(D3&lt;1,15))))</f>
        <v>15</v>
      </c>
      <c r="U3" s="15">
        <f t="shared" ref="U3:U33" si="5">IF(E3&gt;=2,0,IF(E3=1,5,IF(E3=0,10)))</f>
        <v>10</v>
      </c>
      <c r="V3" s="15">
        <f t="shared" ref="V3:V33" si="6">IF(Q3&lt;0.5,0,IF(Q3&lt;0.75,5,IF(Q3&lt;1,10,IF(Q3&lt;1.2,15,IF(Q3&gt;=1.2,20)))))</f>
        <v>20</v>
      </c>
      <c r="W3" s="15">
        <f t="shared" ref="W3:W33" si="7">IF(N3&lt;25000000,0,IF(N3&lt;50000000,5,IF(N3&lt;100000000,10,IF(N3&gt;=100000000,15))))</f>
        <v>5</v>
      </c>
      <c r="X3" s="15">
        <f t="shared" ref="X3:X33" si="8">IF(R3&lt;0.1,0,IF(R3&lt;0.2,5,IF(R3&lt;0.4,10,IF(R3&lt;0.6,15,IF(R3&gt;=0.6,20)))))</f>
        <v>0</v>
      </c>
      <c r="Y3" s="15">
        <f t="shared" ref="Y3:Y33" si="9">IF(S3&lt;1,0,IF(S3&lt;2,5,IF(S3&gt;=2,10)))</f>
        <v>10</v>
      </c>
      <c r="Z3" s="15">
        <f t="shared" ref="Z3:Z33" si="10">IF(O3&lt;10,0,IF(O3&lt;20,5,IF(O3&gt;=20,10)))</f>
        <v>0</v>
      </c>
      <c r="AA3" s="16">
        <f t="shared" ref="AA3:AA33" si="11">SUM(T3:Z3)</f>
        <v>60</v>
      </c>
      <c r="AB3" s="16" t="str">
        <f t="shared" ref="AB3:AB33" si="12">IF(AA3&lt;30,"Grey",IF(AA3&lt;50,"Red",IF(AA3&lt;70,"Amber",IF(AA3&gt;=70,"Green"))))</f>
        <v>Amber</v>
      </c>
      <c r="AC3" s="1"/>
    </row>
    <row r="4" spans="1:29" ht="33" customHeight="1" thickBot="1" x14ac:dyDescent="0.35">
      <c r="A4" t="s">
        <v>15</v>
      </c>
      <c r="C4" s="1">
        <v>5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2</v>
      </c>
      <c r="J4" s="1">
        <v>0</v>
      </c>
      <c r="K4" s="1">
        <v>2</v>
      </c>
      <c r="L4" s="1">
        <v>0</v>
      </c>
      <c r="M4" s="1">
        <v>8</v>
      </c>
      <c r="N4" s="1">
        <v>150000</v>
      </c>
      <c r="O4" s="1">
        <v>5</v>
      </c>
      <c r="P4" s="13">
        <f t="shared" si="0"/>
        <v>3</v>
      </c>
      <c r="Q4" s="14">
        <f t="shared" si="1"/>
        <v>0.6</v>
      </c>
      <c r="R4" s="14">
        <f t="shared" si="2"/>
        <v>0</v>
      </c>
      <c r="S4" s="14">
        <f t="shared" si="3"/>
        <v>1.6</v>
      </c>
      <c r="T4" s="15">
        <f t="shared" si="4"/>
        <v>15</v>
      </c>
      <c r="U4" s="15">
        <f t="shared" si="5"/>
        <v>10</v>
      </c>
      <c r="V4" s="15">
        <f t="shared" si="6"/>
        <v>5</v>
      </c>
      <c r="W4" s="15">
        <f t="shared" si="7"/>
        <v>0</v>
      </c>
      <c r="X4" s="15">
        <f t="shared" si="8"/>
        <v>0</v>
      </c>
      <c r="Y4" s="15">
        <f t="shared" si="9"/>
        <v>5</v>
      </c>
      <c r="Z4" s="15">
        <f t="shared" si="10"/>
        <v>0</v>
      </c>
      <c r="AA4" s="16">
        <f t="shared" si="11"/>
        <v>35</v>
      </c>
      <c r="AB4" s="16" t="str">
        <f t="shared" si="12"/>
        <v>Red</v>
      </c>
      <c r="AC4" s="3"/>
    </row>
    <row r="5" spans="1:29" ht="17.25" customHeight="1" thickBot="1" x14ac:dyDescent="0.35">
      <c r="A5" t="s">
        <v>9</v>
      </c>
      <c r="C5" s="1">
        <v>5</v>
      </c>
      <c r="D5" s="1">
        <v>0</v>
      </c>
      <c r="E5" s="1">
        <v>0</v>
      </c>
      <c r="F5" s="1">
        <v>0</v>
      </c>
      <c r="G5" s="1">
        <v>0</v>
      </c>
      <c r="H5" s="1">
        <v>4</v>
      </c>
      <c r="I5" s="1">
        <v>8</v>
      </c>
      <c r="J5" s="1">
        <v>9</v>
      </c>
      <c r="K5" s="1">
        <v>15</v>
      </c>
      <c r="L5" s="1">
        <v>0</v>
      </c>
      <c r="M5" s="1">
        <v>4</v>
      </c>
      <c r="N5" s="1">
        <v>28077000</v>
      </c>
      <c r="O5" s="1">
        <v>5</v>
      </c>
      <c r="P5" s="13">
        <f t="shared" si="0"/>
        <v>12</v>
      </c>
      <c r="Q5" s="14">
        <f t="shared" si="1"/>
        <v>2.4</v>
      </c>
      <c r="R5" s="14">
        <f t="shared" si="2"/>
        <v>0</v>
      </c>
      <c r="S5" s="14">
        <f t="shared" si="3"/>
        <v>0.8</v>
      </c>
      <c r="T5" s="15">
        <f t="shared" si="4"/>
        <v>15</v>
      </c>
      <c r="U5" s="15">
        <f t="shared" si="5"/>
        <v>10</v>
      </c>
      <c r="V5" s="15">
        <f t="shared" si="6"/>
        <v>20</v>
      </c>
      <c r="W5" s="15">
        <f t="shared" si="7"/>
        <v>5</v>
      </c>
      <c r="X5" s="15">
        <f t="shared" si="8"/>
        <v>0</v>
      </c>
      <c r="Y5" s="15">
        <f t="shared" si="9"/>
        <v>0</v>
      </c>
      <c r="Z5" s="15">
        <f t="shared" si="10"/>
        <v>0</v>
      </c>
      <c r="AA5" s="16">
        <f t="shared" si="11"/>
        <v>50</v>
      </c>
      <c r="AB5" s="16" t="str">
        <f t="shared" si="12"/>
        <v>Amber</v>
      </c>
      <c r="AC5" s="2"/>
    </row>
    <row r="6" spans="1:29" ht="33" customHeight="1" thickBot="1" x14ac:dyDescent="0.35">
      <c r="A6" t="s">
        <v>16</v>
      </c>
      <c r="C6" s="2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2</v>
      </c>
      <c r="L6" s="2">
        <v>0</v>
      </c>
      <c r="M6" s="2">
        <v>6</v>
      </c>
      <c r="N6" s="2">
        <v>0</v>
      </c>
      <c r="O6" s="2">
        <v>5</v>
      </c>
      <c r="P6" s="13">
        <f t="shared" si="0"/>
        <v>0</v>
      </c>
      <c r="Q6" s="14">
        <f t="shared" si="1"/>
        <v>0</v>
      </c>
      <c r="R6" s="14">
        <f t="shared" si="2"/>
        <v>0</v>
      </c>
      <c r="S6" s="14">
        <f t="shared" si="3"/>
        <v>1.2</v>
      </c>
      <c r="T6" s="15">
        <f t="shared" si="4"/>
        <v>15</v>
      </c>
      <c r="U6" s="15">
        <f t="shared" si="5"/>
        <v>10</v>
      </c>
      <c r="V6" s="15">
        <f t="shared" si="6"/>
        <v>0</v>
      </c>
      <c r="W6" s="15">
        <f t="shared" si="7"/>
        <v>0</v>
      </c>
      <c r="X6" s="15">
        <f t="shared" si="8"/>
        <v>0</v>
      </c>
      <c r="Y6" s="15">
        <f t="shared" si="9"/>
        <v>5</v>
      </c>
      <c r="Z6" s="15">
        <f t="shared" si="10"/>
        <v>0</v>
      </c>
      <c r="AA6" s="16">
        <f t="shared" si="11"/>
        <v>30</v>
      </c>
      <c r="AB6" s="16" t="str">
        <f t="shared" si="12"/>
        <v>Red</v>
      </c>
      <c r="AC6" s="1"/>
    </row>
    <row r="7" spans="1:29" ht="33" customHeight="1" thickBot="1" x14ac:dyDescent="0.35">
      <c r="A7" t="s">
        <v>13</v>
      </c>
      <c r="C7" s="1">
        <v>5</v>
      </c>
      <c r="D7" s="1">
        <v>0</v>
      </c>
      <c r="E7" s="1">
        <v>0</v>
      </c>
      <c r="F7" s="1">
        <v>0</v>
      </c>
      <c r="G7" s="1">
        <v>0</v>
      </c>
      <c r="H7" s="1">
        <v>4</v>
      </c>
      <c r="I7" s="1">
        <v>0</v>
      </c>
      <c r="J7" s="1">
        <v>16</v>
      </c>
      <c r="K7" s="1">
        <v>9</v>
      </c>
      <c r="L7" s="1">
        <v>0</v>
      </c>
      <c r="M7" s="1">
        <v>12</v>
      </c>
      <c r="N7" s="1">
        <v>2200000</v>
      </c>
      <c r="O7" s="1">
        <v>5</v>
      </c>
      <c r="P7" s="13">
        <f t="shared" si="0"/>
        <v>4</v>
      </c>
      <c r="Q7" s="14">
        <f t="shared" si="1"/>
        <v>0.8</v>
      </c>
      <c r="R7" s="14">
        <f t="shared" si="2"/>
        <v>0</v>
      </c>
      <c r="S7" s="14">
        <f t="shared" si="3"/>
        <v>2.4</v>
      </c>
      <c r="T7" s="15">
        <f t="shared" si="4"/>
        <v>15</v>
      </c>
      <c r="U7" s="15">
        <f t="shared" si="5"/>
        <v>10</v>
      </c>
      <c r="V7" s="15">
        <f t="shared" si="6"/>
        <v>10</v>
      </c>
      <c r="W7" s="15">
        <f t="shared" si="7"/>
        <v>0</v>
      </c>
      <c r="X7" s="15">
        <f t="shared" si="8"/>
        <v>0</v>
      </c>
      <c r="Y7" s="15">
        <f t="shared" si="9"/>
        <v>10</v>
      </c>
      <c r="Z7" s="15">
        <f t="shared" si="10"/>
        <v>0</v>
      </c>
      <c r="AA7" s="16">
        <f t="shared" si="11"/>
        <v>45</v>
      </c>
      <c r="AB7" s="16" t="str">
        <f t="shared" si="12"/>
        <v>Red</v>
      </c>
      <c r="AC7" s="2"/>
    </row>
    <row r="8" spans="1:29" ht="33" customHeight="1" thickBot="1" x14ac:dyDescent="0.35">
      <c r="A8" t="s">
        <v>12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8</v>
      </c>
      <c r="I8" s="2">
        <v>6</v>
      </c>
      <c r="J8" s="2">
        <v>0</v>
      </c>
      <c r="K8" s="2">
        <v>4</v>
      </c>
      <c r="L8" s="2">
        <v>0</v>
      </c>
      <c r="M8" s="2">
        <v>14</v>
      </c>
      <c r="N8" s="2">
        <v>8740000</v>
      </c>
      <c r="O8" s="2">
        <v>5</v>
      </c>
      <c r="P8" s="13">
        <f t="shared" si="0"/>
        <v>14</v>
      </c>
      <c r="Q8" s="14">
        <f t="shared" si="1"/>
        <v>2.8</v>
      </c>
      <c r="R8" s="14">
        <f t="shared" si="2"/>
        <v>0</v>
      </c>
      <c r="S8" s="14">
        <f t="shared" si="3"/>
        <v>2.8</v>
      </c>
      <c r="T8" s="15">
        <f t="shared" si="4"/>
        <v>15</v>
      </c>
      <c r="U8" s="15">
        <f t="shared" si="5"/>
        <v>10</v>
      </c>
      <c r="V8" s="15">
        <f t="shared" si="6"/>
        <v>20</v>
      </c>
      <c r="W8" s="15">
        <f t="shared" si="7"/>
        <v>0</v>
      </c>
      <c r="X8" s="15">
        <f t="shared" si="8"/>
        <v>0</v>
      </c>
      <c r="Y8" s="15">
        <f t="shared" si="9"/>
        <v>10</v>
      </c>
      <c r="Z8" s="15">
        <f t="shared" si="10"/>
        <v>0</v>
      </c>
      <c r="AA8" s="16">
        <f t="shared" si="11"/>
        <v>55</v>
      </c>
      <c r="AB8" s="16" t="str">
        <f t="shared" si="12"/>
        <v>Amber</v>
      </c>
      <c r="AC8" s="2"/>
    </row>
    <row r="9" spans="1:29" ht="17.25" customHeight="1" thickBot="1" x14ac:dyDescent="0.35">
      <c r="A9" t="s">
        <v>11</v>
      </c>
      <c r="C9" s="1">
        <v>5</v>
      </c>
      <c r="D9" s="1">
        <v>0</v>
      </c>
      <c r="E9" s="1">
        <v>0</v>
      </c>
      <c r="F9" s="1">
        <v>0</v>
      </c>
      <c r="G9" s="1">
        <v>0</v>
      </c>
      <c r="H9" s="1">
        <v>8</v>
      </c>
      <c r="I9" s="1">
        <v>5</v>
      </c>
      <c r="J9" s="1">
        <v>0</v>
      </c>
      <c r="K9" s="1">
        <v>8</v>
      </c>
      <c r="L9" s="1">
        <v>1</v>
      </c>
      <c r="M9" s="1">
        <v>19</v>
      </c>
      <c r="N9" s="1">
        <v>5350000</v>
      </c>
      <c r="O9" s="1">
        <v>8</v>
      </c>
      <c r="P9" s="13">
        <f t="shared" si="0"/>
        <v>13</v>
      </c>
      <c r="Q9" s="14">
        <f t="shared" si="1"/>
        <v>2.6</v>
      </c>
      <c r="R9" s="14">
        <f t="shared" si="2"/>
        <v>0.2</v>
      </c>
      <c r="S9" s="14">
        <f t="shared" si="3"/>
        <v>3.8</v>
      </c>
      <c r="T9" s="15">
        <f t="shared" si="4"/>
        <v>15</v>
      </c>
      <c r="U9" s="15">
        <f t="shared" si="5"/>
        <v>10</v>
      </c>
      <c r="V9" s="15">
        <f t="shared" si="6"/>
        <v>20</v>
      </c>
      <c r="W9" s="15">
        <f t="shared" si="7"/>
        <v>0</v>
      </c>
      <c r="X9" s="15">
        <f t="shared" si="8"/>
        <v>10</v>
      </c>
      <c r="Y9" s="15">
        <f t="shared" si="9"/>
        <v>10</v>
      </c>
      <c r="Z9" s="15">
        <f t="shared" si="10"/>
        <v>0</v>
      </c>
      <c r="AA9" s="16">
        <f t="shared" si="11"/>
        <v>65</v>
      </c>
      <c r="AB9" s="16" t="str">
        <f t="shared" si="12"/>
        <v>Amber</v>
      </c>
      <c r="AC9" s="1"/>
    </row>
    <row r="10" spans="1:29" ht="33" customHeight="1" thickBot="1" x14ac:dyDescent="0.35">
      <c r="A10" t="s">
        <v>10</v>
      </c>
      <c r="C10" s="2">
        <v>5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3</v>
      </c>
      <c r="J10" s="2">
        <v>1</v>
      </c>
      <c r="K10" s="2">
        <v>5</v>
      </c>
      <c r="L10" s="2">
        <v>0</v>
      </c>
      <c r="M10" s="2">
        <v>8</v>
      </c>
      <c r="N10" s="2">
        <v>72000000</v>
      </c>
      <c r="O10" s="2">
        <v>0</v>
      </c>
      <c r="P10" s="13">
        <f t="shared" si="0"/>
        <v>4</v>
      </c>
      <c r="Q10" s="14">
        <f t="shared" si="1"/>
        <v>0.8</v>
      </c>
      <c r="R10" s="14">
        <f t="shared" si="2"/>
        <v>0</v>
      </c>
      <c r="S10" s="14">
        <f t="shared" si="3"/>
        <v>1.6</v>
      </c>
      <c r="T10" s="15">
        <f t="shared" si="4"/>
        <v>15</v>
      </c>
      <c r="U10" s="15">
        <f t="shared" si="5"/>
        <v>10</v>
      </c>
      <c r="V10" s="15">
        <f t="shared" si="6"/>
        <v>10</v>
      </c>
      <c r="W10" s="15">
        <f t="shared" si="7"/>
        <v>10</v>
      </c>
      <c r="X10" s="15">
        <f t="shared" si="8"/>
        <v>0</v>
      </c>
      <c r="Y10" s="15">
        <f t="shared" si="9"/>
        <v>5</v>
      </c>
      <c r="Z10" s="15">
        <f t="shared" si="10"/>
        <v>0</v>
      </c>
      <c r="AA10" s="16">
        <f t="shared" si="11"/>
        <v>50</v>
      </c>
      <c r="AB10" s="16" t="str">
        <f t="shared" si="12"/>
        <v>Amber</v>
      </c>
      <c r="AC10" s="1"/>
    </row>
    <row r="11" spans="1:29" ht="33" customHeight="1" thickBot="1" x14ac:dyDescent="0.35">
      <c r="A11" t="s">
        <v>14</v>
      </c>
      <c r="C11" s="2">
        <v>5</v>
      </c>
      <c r="D11" s="2">
        <v>0</v>
      </c>
      <c r="E11" s="2">
        <v>0</v>
      </c>
      <c r="F11" s="2">
        <v>0</v>
      </c>
      <c r="G11" s="2">
        <v>0</v>
      </c>
      <c r="H11" s="2">
        <v>10</v>
      </c>
      <c r="I11" s="2">
        <v>1</v>
      </c>
      <c r="J11" s="2">
        <v>5</v>
      </c>
      <c r="K11" s="2">
        <v>16</v>
      </c>
      <c r="L11" s="2">
        <v>0</v>
      </c>
      <c r="M11" s="2">
        <v>17</v>
      </c>
      <c r="N11" s="2">
        <v>605000</v>
      </c>
      <c r="O11" s="2">
        <v>5</v>
      </c>
      <c r="P11" s="13">
        <f t="shared" si="0"/>
        <v>11</v>
      </c>
      <c r="Q11" s="14">
        <f t="shared" si="1"/>
        <v>2.2000000000000002</v>
      </c>
      <c r="R11" s="14">
        <f t="shared" si="2"/>
        <v>0</v>
      </c>
      <c r="S11" s="14">
        <f t="shared" si="3"/>
        <v>3.4</v>
      </c>
      <c r="T11" s="15">
        <f t="shared" si="4"/>
        <v>15</v>
      </c>
      <c r="U11" s="15">
        <f t="shared" si="5"/>
        <v>10</v>
      </c>
      <c r="V11" s="15">
        <f t="shared" si="6"/>
        <v>20</v>
      </c>
      <c r="W11" s="15">
        <f t="shared" si="7"/>
        <v>0</v>
      </c>
      <c r="X11" s="15">
        <f t="shared" si="8"/>
        <v>0</v>
      </c>
      <c r="Y11" s="15">
        <f t="shared" si="9"/>
        <v>10</v>
      </c>
      <c r="Z11" s="15">
        <f t="shared" si="10"/>
        <v>0</v>
      </c>
      <c r="AA11" s="16">
        <f t="shared" si="11"/>
        <v>55</v>
      </c>
      <c r="AB11" s="16" t="str">
        <f t="shared" si="12"/>
        <v>Amber</v>
      </c>
      <c r="AC11" s="2"/>
    </row>
    <row r="12" spans="1:29" ht="33" customHeight="1" thickBot="1" x14ac:dyDescent="0.35">
      <c r="A12" t="s">
        <v>25</v>
      </c>
      <c r="C12" s="1">
        <v>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0</v>
      </c>
      <c r="O12" s="1">
        <v>6</v>
      </c>
      <c r="P12" s="13">
        <f t="shared" si="0"/>
        <v>0</v>
      </c>
      <c r="Q12" s="14">
        <f t="shared" si="1"/>
        <v>0</v>
      </c>
      <c r="R12" s="14">
        <f t="shared" si="2"/>
        <v>0</v>
      </c>
      <c r="S12" s="14">
        <f t="shared" si="3"/>
        <v>0.5</v>
      </c>
      <c r="T12" s="15">
        <f t="shared" si="4"/>
        <v>15</v>
      </c>
      <c r="U12" s="15">
        <f t="shared" si="5"/>
        <v>10</v>
      </c>
      <c r="V12" s="15">
        <f t="shared" si="6"/>
        <v>0</v>
      </c>
      <c r="W12" s="15">
        <f t="shared" si="7"/>
        <v>0</v>
      </c>
      <c r="X12" s="15">
        <f t="shared" si="8"/>
        <v>0</v>
      </c>
      <c r="Y12" s="15">
        <f t="shared" si="9"/>
        <v>0</v>
      </c>
      <c r="Z12" s="15">
        <f t="shared" si="10"/>
        <v>0</v>
      </c>
      <c r="AA12" s="16">
        <f t="shared" si="11"/>
        <v>25</v>
      </c>
      <c r="AB12" s="16" t="str">
        <f t="shared" si="12"/>
        <v>Grey</v>
      </c>
      <c r="AC12" s="2"/>
    </row>
    <row r="13" spans="1:29" ht="33" customHeight="1" thickBot="1" x14ac:dyDescent="0.35">
      <c r="A13" t="s">
        <v>28</v>
      </c>
      <c r="C13" s="1">
        <v>5</v>
      </c>
      <c r="D13" s="1">
        <v>0</v>
      </c>
      <c r="E13" s="1">
        <v>0</v>
      </c>
      <c r="F13" s="1">
        <v>0</v>
      </c>
      <c r="G13" s="1">
        <v>0</v>
      </c>
      <c r="H13" s="1">
        <v>6</v>
      </c>
      <c r="I13" s="1">
        <v>3</v>
      </c>
      <c r="J13" s="1">
        <v>0</v>
      </c>
      <c r="K13" s="1">
        <v>6</v>
      </c>
      <c r="L13" s="1">
        <v>1</v>
      </c>
      <c r="M13" s="1">
        <v>18</v>
      </c>
      <c r="N13" s="1">
        <v>3654680</v>
      </c>
      <c r="O13" s="1">
        <v>12</v>
      </c>
      <c r="P13" s="13">
        <f t="shared" si="0"/>
        <v>9</v>
      </c>
      <c r="Q13" s="14">
        <f t="shared" si="1"/>
        <v>1.8</v>
      </c>
      <c r="R13" s="14">
        <f t="shared" si="2"/>
        <v>0.2</v>
      </c>
      <c r="S13" s="14">
        <f t="shared" si="3"/>
        <v>3.6</v>
      </c>
      <c r="T13" s="15">
        <f t="shared" si="4"/>
        <v>15</v>
      </c>
      <c r="U13" s="15">
        <f t="shared" si="5"/>
        <v>10</v>
      </c>
      <c r="V13" s="15">
        <f t="shared" si="6"/>
        <v>20</v>
      </c>
      <c r="W13" s="15">
        <f t="shared" si="7"/>
        <v>0</v>
      </c>
      <c r="X13" s="15">
        <f t="shared" si="8"/>
        <v>10</v>
      </c>
      <c r="Y13" s="15">
        <f t="shared" si="9"/>
        <v>10</v>
      </c>
      <c r="Z13" s="15">
        <f t="shared" si="10"/>
        <v>5</v>
      </c>
      <c r="AA13" s="16">
        <f t="shared" si="11"/>
        <v>70</v>
      </c>
      <c r="AB13" s="16" t="str">
        <f t="shared" si="12"/>
        <v>Green</v>
      </c>
      <c r="AC13" s="2"/>
    </row>
    <row r="14" spans="1:29" ht="17.25" customHeight="1" thickBot="1" x14ac:dyDescent="0.35">
      <c r="A14" t="s">
        <v>26</v>
      </c>
      <c r="C14" s="2">
        <v>5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25</v>
      </c>
      <c r="J14" s="2">
        <v>2</v>
      </c>
      <c r="K14" s="2">
        <v>3</v>
      </c>
      <c r="L14" s="2">
        <v>0</v>
      </c>
      <c r="M14" s="2">
        <v>5</v>
      </c>
      <c r="N14" s="2">
        <v>559000</v>
      </c>
      <c r="O14" s="2">
        <v>2</v>
      </c>
      <c r="P14" s="13">
        <f t="shared" si="0"/>
        <v>26</v>
      </c>
      <c r="Q14" s="14">
        <f t="shared" si="1"/>
        <v>5.2</v>
      </c>
      <c r="R14" s="14">
        <f t="shared" si="2"/>
        <v>0</v>
      </c>
      <c r="S14" s="14">
        <f t="shared" si="3"/>
        <v>1</v>
      </c>
      <c r="T14" s="15">
        <f t="shared" si="4"/>
        <v>15</v>
      </c>
      <c r="U14" s="15">
        <f t="shared" si="5"/>
        <v>10</v>
      </c>
      <c r="V14" s="15">
        <f t="shared" si="6"/>
        <v>20</v>
      </c>
      <c r="W14" s="15">
        <f t="shared" si="7"/>
        <v>0</v>
      </c>
      <c r="X14" s="15">
        <f t="shared" si="8"/>
        <v>0</v>
      </c>
      <c r="Y14" s="15">
        <f t="shared" si="9"/>
        <v>5</v>
      </c>
      <c r="Z14" s="15">
        <f t="shared" si="10"/>
        <v>0</v>
      </c>
      <c r="AA14" s="16">
        <f t="shared" si="11"/>
        <v>50</v>
      </c>
      <c r="AB14" s="16" t="str">
        <f t="shared" si="12"/>
        <v>Amber</v>
      </c>
      <c r="AC14" s="2"/>
    </row>
    <row r="15" spans="1:29" ht="17.25" customHeight="1" thickBot="1" x14ac:dyDescent="0.35">
      <c r="A15" t="s">
        <v>31</v>
      </c>
      <c r="C15" s="2">
        <v>5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9</v>
      </c>
      <c r="J15" s="2">
        <v>0</v>
      </c>
      <c r="K15" s="2">
        <v>0</v>
      </c>
      <c r="L15" s="2">
        <v>1</v>
      </c>
      <c r="M15" s="2">
        <v>19</v>
      </c>
      <c r="N15" s="2">
        <v>255000</v>
      </c>
      <c r="O15" s="2">
        <v>5</v>
      </c>
      <c r="P15" s="13">
        <f t="shared" si="0"/>
        <v>10</v>
      </c>
      <c r="Q15" s="14">
        <f t="shared" si="1"/>
        <v>2</v>
      </c>
      <c r="R15" s="14">
        <f t="shared" si="2"/>
        <v>0.2</v>
      </c>
      <c r="S15" s="14">
        <f t="shared" si="3"/>
        <v>3.8</v>
      </c>
      <c r="T15" s="15">
        <f t="shared" si="4"/>
        <v>15</v>
      </c>
      <c r="U15" s="15">
        <f t="shared" si="5"/>
        <v>10</v>
      </c>
      <c r="V15" s="15">
        <f t="shared" si="6"/>
        <v>20</v>
      </c>
      <c r="W15" s="15">
        <f t="shared" si="7"/>
        <v>0</v>
      </c>
      <c r="X15" s="15">
        <f t="shared" si="8"/>
        <v>10</v>
      </c>
      <c r="Y15" s="15">
        <f t="shared" si="9"/>
        <v>10</v>
      </c>
      <c r="Z15" s="15">
        <f t="shared" si="10"/>
        <v>0</v>
      </c>
      <c r="AA15" s="16">
        <f t="shared" si="11"/>
        <v>65</v>
      </c>
      <c r="AB15" s="16" t="str">
        <f t="shared" si="12"/>
        <v>Amber</v>
      </c>
      <c r="AC15" s="2"/>
    </row>
    <row r="16" spans="1:29" ht="17.25" customHeight="1" thickBot="1" x14ac:dyDescent="0.35">
      <c r="A16" t="s">
        <v>29</v>
      </c>
      <c r="C16" s="2">
        <v>5</v>
      </c>
      <c r="D16" s="2">
        <v>0</v>
      </c>
      <c r="E16" s="2">
        <v>0</v>
      </c>
      <c r="F16" s="2">
        <v>0</v>
      </c>
      <c r="G16" s="2">
        <v>0</v>
      </c>
      <c r="H16" s="2">
        <v>13</v>
      </c>
      <c r="I16" s="2">
        <v>5</v>
      </c>
      <c r="J16" s="2">
        <v>4</v>
      </c>
      <c r="K16" s="2">
        <v>5</v>
      </c>
      <c r="L16" s="2">
        <v>1</v>
      </c>
      <c r="M16" s="2">
        <v>20</v>
      </c>
      <c r="N16" s="2">
        <v>1113160</v>
      </c>
      <c r="O16" s="2">
        <v>20</v>
      </c>
      <c r="P16" s="13">
        <f t="shared" si="0"/>
        <v>18</v>
      </c>
      <c r="Q16" s="14">
        <f t="shared" si="1"/>
        <v>3.6</v>
      </c>
      <c r="R16" s="14">
        <f t="shared" si="2"/>
        <v>0.2</v>
      </c>
      <c r="S16" s="14">
        <f t="shared" si="3"/>
        <v>4</v>
      </c>
      <c r="T16" s="15">
        <f t="shared" si="4"/>
        <v>15</v>
      </c>
      <c r="U16" s="15">
        <f t="shared" si="5"/>
        <v>10</v>
      </c>
      <c r="V16" s="15">
        <f t="shared" si="6"/>
        <v>20</v>
      </c>
      <c r="W16" s="15">
        <f t="shared" si="7"/>
        <v>0</v>
      </c>
      <c r="X16" s="15">
        <f t="shared" si="8"/>
        <v>10</v>
      </c>
      <c r="Y16" s="15">
        <f t="shared" si="9"/>
        <v>10</v>
      </c>
      <c r="Z16" s="15">
        <f t="shared" si="10"/>
        <v>10</v>
      </c>
      <c r="AA16" s="16">
        <f t="shared" si="11"/>
        <v>75</v>
      </c>
      <c r="AB16" s="16" t="str">
        <f t="shared" si="12"/>
        <v>Green</v>
      </c>
      <c r="AC16" s="1"/>
    </row>
    <row r="17" spans="1:29" ht="33" customHeight="1" thickBot="1" x14ac:dyDescent="0.35">
      <c r="A17" t="s">
        <v>30</v>
      </c>
      <c r="C17" s="1">
        <v>4</v>
      </c>
      <c r="D17" s="1">
        <v>1</v>
      </c>
      <c r="E17" s="1">
        <v>0</v>
      </c>
      <c r="F17" s="1">
        <v>0</v>
      </c>
      <c r="G17" s="1">
        <v>0</v>
      </c>
      <c r="H17" s="1">
        <v>6</v>
      </c>
      <c r="I17" s="1">
        <v>3</v>
      </c>
      <c r="J17" s="1">
        <v>5</v>
      </c>
      <c r="K17" s="1">
        <v>6</v>
      </c>
      <c r="L17" s="1">
        <v>0</v>
      </c>
      <c r="M17" s="1">
        <v>14</v>
      </c>
      <c r="N17" s="1">
        <v>2180000</v>
      </c>
      <c r="O17" s="1">
        <v>5</v>
      </c>
      <c r="P17" s="13">
        <f t="shared" si="0"/>
        <v>9</v>
      </c>
      <c r="Q17" s="14">
        <f t="shared" si="1"/>
        <v>1.8</v>
      </c>
      <c r="R17" s="14">
        <f t="shared" si="2"/>
        <v>0</v>
      </c>
      <c r="S17" s="14">
        <f t="shared" si="3"/>
        <v>2.8</v>
      </c>
      <c r="T17" s="15">
        <f t="shared" si="4"/>
        <v>10</v>
      </c>
      <c r="U17" s="15">
        <f t="shared" si="5"/>
        <v>10</v>
      </c>
      <c r="V17" s="15">
        <f t="shared" si="6"/>
        <v>20</v>
      </c>
      <c r="W17" s="15">
        <f t="shared" si="7"/>
        <v>0</v>
      </c>
      <c r="X17" s="15">
        <f t="shared" si="8"/>
        <v>0</v>
      </c>
      <c r="Y17" s="15">
        <f t="shared" si="9"/>
        <v>10</v>
      </c>
      <c r="Z17" s="15">
        <f t="shared" si="10"/>
        <v>0</v>
      </c>
      <c r="AA17" s="16">
        <f t="shared" si="11"/>
        <v>50</v>
      </c>
      <c r="AB17" s="16" t="str">
        <f t="shared" si="12"/>
        <v>Amber</v>
      </c>
      <c r="AC17" s="1"/>
    </row>
    <row r="18" spans="1:29" ht="33" customHeight="1" thickBot="1" x14ac:dyDescent="0.35">
      <c r="A18" t="s">
        <v>32</v>
      </c>
      <c r="C18" s="3">
        <v>5</v>
      </c>
      <c r="D18" s="3">
        <v>0</v>
      </c>
      <c r="E18" s="3">
        <v>0</v>
      </c>
      <c r="F18" s="3">
        <v>0</v>
      </c>
      <c r="G18" s="3">
        <v>0</v>
      </c>
      <c r="H18" s="3">
        <v>3</v>
      </c>
      <c r="I18" s="3">
        <v>0</v>
      </c>
      <c r="J18" s="3">
        <v>23</v>
      </c>
      <c r="K18" s="3">
        <v>20</v>
      </c>
      <c r="L18" s="3">
        <v>0</v>
      </c>
      <c r="M18" s="3">
        <v>8</v>
      </c>
      <c r="N18" s="3">
        <v>1641500</v>
      </c>
      <c r="O18" s="3">
        <v>14</v>
      </c>
      <c r="P18" s="13">
        <f t="shared" si="0"/>
        <v>3</v>
      </c>
      <c r="Q18" s="14">
        <f t="shared" si="1"/>
        <v>0.6</v>
      </c>
      <c r="R18" s="14">
        <f t="shared" si="2"/>
        <v>0</v>
      </c>
      <c r="S18" s="14">
        <f t="shared" si="3"/>
        <v>1.6</v>
      </c>
      <c r="T18" s="15">
        <f t="shared" si="4"/>
        <v>15</v>
      </c>
      <c r="U18" s="15">
        <f t="shared" si="5"/>
        <v>10</v>
      </c>
      <c r="V18" s="15">
        <f t="shared" si="6"/>
        <v>5</v>
      </c>
      <c r="W18" s="15">
        <f t="shared" si="7"/>
        <v>0</v>
      </c>
      <c r="X18" s="15">
        <f t="shared" si="8"/>
        <v>0</v>
      </c>
      <c r="Y18" s="15">
        <f t="shared" si="9"/>
        <v>5</v>
      </c>
      <c r="Z18" s="15">
        <f t="shared" si="10"/>
        <v>5</v>
      </c>
      <c r="AA18" s="16">
        <f t="shared" si="11"/>
        <v>40</v>
      </c>
      <c r="AB18" s="16" t="str">
        <f t="shared" si="12"/>
        <v>Red</v>
      </c>
      <c r="AC18" s="2"/>
    </row>
    <row r="19" spans="1:29" ht="17.25" customHeight="1" thickBot="1" x14ac:dyDescent="0.35">
      <c r="A19" t="s">
        <v>18</v>
      </c>
      <c r="C19" s="2">
        <v>3</v>
      </c>
      <c r="D19" s="2">
        <v>1</v>
      </c>
      <c r="E19" s="2">
        <v>1</v>
      </c>
      <c r="F19" s="2">
        <v>0</v>
      </c>
      <c r="G19" s="2">
        <v>0</v>
      </c>
      <c r="H19" s="2">
        <v>2</v>
      </c>
      <c r="I19" s="2">
        <v>6</v>
      </c>
      <c r="J19" s="2">
        <v>0</v>
      </c>
      <c r="K19" s="2">
        <v>2</v>
      </c>
      <c r="L19" s="2">
        <v>0</v>
      </c>
      <c r="M19" s="2">
        <v>3</v>
      </c>
      <c r="N19" s="2">
        <v>12260000</v>
      </c>
      <c r="O19" s="2">
        <v>0</v>
      </c>
      <c r="P19" s="13">
        <f t="shared" si="0"/>
        <v>8</v>
      </c>
      <c r="Q19" s="14">
        <f t="shared" si="1"/>
        <v>1.6</v>
      </c>
      <c r="R19" s="14">
        <f t="shared" si="2"/>
        <v>0</v>
      </c>
      <c r="S19" s="14">
        <f t="shared" si="3"/>
        <v>0.6</v>
      </c>
      <c r="T19" s="15">
        <f t="shared" si="4"/>
        <v>10</v>
      </c>
      <c r="U19" s="15">
        <f t="shared" si="5"/>
        <v>5</v>
      </c>
      <c r="V19" s="15">
        <f t="shared" si="6"/>
        <v>20</v>
      </c>
      <c r="W19" s="15">
        <f t="shared" si="7"/>
        <v>0</v>
      </c>
      <c r="X19" s="15">
        <f t="shared" si="8"/>
        <v>0</v>
      </c>
      <c r="Y19" s="15">
        <f t="shared" si="9"/>
        <v>0</v>
      </c>
      <c r="Z19" s="15">
        <f t="shared" si="10"/>
        <v>0</v>
      </c>
      <c r="AA19" s="16">
        <f t="shared" si="11"/>
        <v>35</v>
      </c>
      <c r="AB19" s="16" t="str">
        <f t="shared" si="12"/>
        <v>Red</v>
      </c>
      <c r="AC19" s="2"/>
    </row>
    <row r="20" spans="1:29" ht="17.25" customHeight="1" thickBot="1" x14ac:dyDescent="0.35">
      <c r="A20" t="s">
        <v>22</v>
      </c>
      <c r="C20" s="2">
        <v>4</v>
      </c>
      <c r="D20" s="2">
        <v>1</v>
      </c>
      <c r="E20" s="2">
        <v>0</v>
      </c>
      <c r="F20" s="2">
        <v>0</v>
      </c>
      <c r="G20" s="2">
        <v>0</v>
      </c>
      <c r="H20" s="2">
        <v>5</v>
      </c>
      <c r="I20" s="2">
        <v>3</v>
      </c>
      <c r="J20" s="2">
        <v>0</v>
      </c>
      <c r="K20" s="2">
        <v>3</v>
      </c>
      <c r="L20" s="2">
        <v>1</v>
      </c>
      <c r="M20" s="2">
        <v>14</v>
      </c>
      <c r="N20" s="2">
        <v>2115000</v>
      </c>
      <c r="O20" s="2">
        <v>2</v>
      </c>
      <c r="P20" s="13">
        <f t="shared" si="0"/>
        <v>8</v>
      </c>
      <c r="Q20" s="14">
        <f t="shared" si="1"/>
        <v>1.6</v>
      </c>
      <c r="R20" s="14">
        <f t="shared" si="2"/>
        <v>0.2</v>
      </c>
      <c r="S20" s="14">
        <f t="shared" si="3"/>
        <v>2.8</v>
      </c>
      <c r="T20" s="15">
        <f t="shared" si="4"/>
        <v>10</v>
      </c>
      <c r="U20" s="15">
        <f t="shared" si="5"/>
        <v>10</v>
      </c>
      <c r="V20" s="15">
        <f t="shared" si="6"/>
        <v>20</v>
      </c>
      <c r="W20" s="15">
        <f t="shared" si="7"/>
        <v>0</v>
      </c>
      <c r="X20" s="15">
        <f t="shared" si="8"/>
        <v>10</v>
      </c>
      <c r="Y20" s="15">
        <f t="shared" si="9"/>
        <v>10</v>
      </c>
      <c r="Z20" s="15">
        <f t="shared" si="10"/>
        <v>0</v>
      </c>
      <c r="AA20" s="16">
        <f t="shared" si="11"/>
        <v>60</v>
      </c>
      <c r="AB20" s="16" t="str">
        <f t="shared" si="12"/>
        <v>Amber</v>
      </c>
      <c r="AC20" s="1"/>
    </row>
    <row r="21" spans="1:29" ht="17.25" customHeight="1" thickBot="1" x14ac:dyDescent="0.35">
      <c r="A21" t="s">
        <v>19</v>
      </c>
      <c r="C21" s="1">
        <v>5</v>
      </c>
      <c r="D21" s="1">
        <v>0</v>
      </c>
      <c r="E21" s="1">
        <v>0</v>
      </c>
      <c r="F21" s="1">
        <v>0</v>
      </c>
      <c r="G21" s="1">
        <v>0</v>
      </c>
      <c r="H21" s="1">
        <v>5</v>
      </c>
      <c r="I21" s="1">
        <v>6</v>
      </c>
      <c r="J21" s="1">
        <v>0</v>
      </c>
      <c r="K21" s="1">
        <v>3</v>
      </c>
      <c r="L21" s="1">
        <v>2</v>
      </c>
      <c r="M21" s="1">
        <v>7</v>
      </c>
      <c r="N21" s="1">
        <v>19863000</v>
      </c>
      <c r="O21" s="1">
        <v>6</v>
      </c>
      <c r="P21" s="13">
        <f t="shared" si="0"/>
        <v>11</v>
      </c>
      <c r="Q21" s="14">
        <f t="shared" si="1"/>
        <v>2.2000000000000002</v>
      </c>
      <c r="R21" s="14">
        <f t="shared" si="2"/>
        <v>0.4</v>
      </c>
      <c r="S21" s="14">
        <f t="shared" si="3"/>
        <v>1.4</v>
      </c>
      <c r="T21" s="15">
        <f t="shared" si="4"/>
        <v>15</v>
      </c>
      <c r="U21" s="15">
        <f t="shared" si="5"/>
        <v>10</v>
      </c>
      <c r="V21" s="15">
        <f t="shared" si="6"/>
        <v>20</v>
      </c>
      <c r="W21" s="15">
        <f t="shared" si="7"/>
        <v>0</v>
      </c>
      <c r="X21" s="15">
        <f t="shared" si="8"/>
        <v>15</v>
      </c>
      <c r="Y21" s="15">
        <f t="shared" si="9"/>
        <v>5</v>
      </c>
      <c r="Z21" s="15">
        <f t="shared" si="10"/>
        <v>0</v>
      </c>
      <c r="AA21" s="16">
        <f t="shared" si="11"/>
        <v>65</v>
      </c>
      <c r="AB21" s="16" t="str">
        <f t="shared" si="12"/>
        <v>Amber</v>
      </c>
      <c r="AC21" s="2"/>
    </row>
    <row r="22" spans="1:29" ht="33" customHeight="1" thickBot="1" x14ac:dyDescent="0.35">
      <c r="A22" t="s">
        <v>20</v>
      </c>
      <c r="C22" s="2">
        <v>5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2</v>
      </c>
      <c r="L22" s="2">
        <v>0</v>
      </c>
      <c r="M22" s="2">
        <v>13</v>
      </c>
      <c r="N22" s="2">
        <v>60000</v>
      </c>
      <c r="O22" s="2">
        <v>15</v>
      </c>
      <c r="P22" s="13">
        <f t="shared" si="0"/>
        <v>1</v>
      </c>
      <c r="Q22" s="14">
        <f t="shared" si="1"/>
        <v>0.2</v>
      </c>
      <c r="R22" s="14">
        <f t="shared" si="2"/>
        <v>0</v>
      </c>
      <c r="S22" s="14">
        <f t="shared" si="3"/>
        <v>2.6</v>
      </c>
      <c r="T22" s="15">
        <f t="shared" si="4"/>
        <v>15</v>
      </c>
      <c r="U22" s="15">
        <f t="shared" si="5"/>
        <v>10</v>
      </c>
      <c r="V22" s="15">
        <f t="shared" si="6"/>
        <v>0</v>
      </c>
      <c r="W22" s="15">
        <f t="shared" si="7"/>
        <v>0</v>
      </c>
      <c r="X22" s="15">
        <f t="shared" si="8"/>
        <v>0</v>
      </c>
      <c r="Y22" s="15">
        <f t="shared" si="9"/>
        <v>10</v>
      </c>
      <c r="Z22" s="15">
        <f t="shared" si="10"/>
        <v>5</v>
      </c>
      <c r="AA22" s="16">
        <f t="shared" si="11"/>
        <v>40</v>
      </c>
      <c r="AB22" s="16" t="str">
        <f t="shared" si="12"/>
        <v>Red</v>
      </c>
      <c r="AC22" s="1"/>
    </row>
    <row r="23" spans="1:29" ht="33" customHeight="1" thickBot="1" x14ac:dyDescent="0.35">
      <c r="A23" t="s">
        <v>21</v>
      </c>
      <c r="C23" s="1">
        <v>5</v>
      </c>
      <c r="D23" s="1">
        <v>0</v>
      </c>
      <c r="E23" s="1">
        <v>0</v>
      </c>
      <c r="F23" s="1">
        <v>0</v>
      </c>
      <c r="G23" s="1">
        <v>0</v>
      </c>
      <c r="H23" s="1">
        <v>7</v>
      </c>
      <c r="I23" s="1">
        <v>21</v>
      </c>
      <c r="J23" s="1">
        <v>5</v>
      </c>
      <c r="K23" s="1">
        <v>2</v>
      </c>
      <c r="L23" s="1">
        <v>1</v>
      </c>
      <c r="M23" s="1">
        <v>21</v>
      </c>
      <c r="N23" s="1">
        <v>31451900</v>
      </c>
      <c r="O23" s="1">
        <v>0</v>
      </c>
      <c r="P23" s="13">
        <f t="shared" si="0"/>
        <v>28</v>
      </c>
      <c r="Q23" s="14">
        <f t="shared" si="1"/>
        <v>5.6</v>
      </c>
      <c r="R23" s="14">
        <f t="shared" si="2"/>
        <v>0.2</v>
      </c>
      <c r="S23" s="14">
        <f t="shared" si="3"/>
        <v>4.2</v>
      </c>
      <c r="T23" s="15">
        <f t="shared" si="4"/>
        <v>15</v>
      </c>
      <c r="U23" s="15">
        <f t="shared" si="5"/>
        <v>10</v>
      </c>
      <c r="V23" s="15">
        <f t="shared" si="6"/>
        <v>20</v>
      </c>
      <c r="W23" s="15">
        <f t="shared" si="7"/>
        <v>5</v>
      </c>
      <c r="X23" s="15">
        <f t="shared" si="8"/>
        <v>10</v>
      </c>
      <c r="Y23" s="15">
        <f t="shared" si="9"/>
        <v>10</v>
      </c>
      <c r="Z23" s="15">
        <f t="shared" si="10"/>
        <v>0</v>
      </c>
      <c r="AA23" s="16">
        <f t="shared" si="11"/>
        <v>70</v>
      </c>
      <c r="AB23" s="16" t="str">
        <f t="shared" si="12"/>
        <v>Green</v>
      </c>
      <c r="AC23" s="2"/>
    </row>
    <row r="24" spans="1:29" ht="17.25" customHeight="1" thickBot="1" x14ac:dyDescent="0.35">
      <c r="A24" t="s">
        <v>24</v>
      </c>
      <c r="C24" s="2">
        <v>5</v>
      </c>
      <c r="D24" s="2">
        <v>0</v>
      </c>
      <c r="E24" s="2">
        <v>0</v>
      </c>
      <c r="F24" s="2">
        <v>0</v>
      </c>
      <c r="G24" s="2">
        <v>0</v>
      </c>
      <c r="H24" s="2">
        <v>6</v>
      </c>
      <c r="I24" s="2">
        <v>3</v>
      </c>
      <c r="J24" s="2">
        <v>6</v>
      </c>
      <c r="K24" s="2">
        <v>6</v>
      </c>
      <c r="L24" s="2">
        <v>0</v>
      </c>
      <c r="M24" s="2">
        <v>7</v>
      </c>
      <c r="N24" s="2">
        <v>80420100</v>
      </c>
      <c r="O24" s="2">
        <v>0</v>
      </c>
      <c r="P24" s="13">
        <f t="shared" si="0"/>
        <v>9</v>
      </c>
      <c r="Q24" s="14">
        <f t="shared" si="1"/>
        <v>1.8</v>
      </c>
      <c r="R24" s="14">
        <f t="shared" si="2"/>
        <v>0</v>
      </c>
      <c r="S24" s="14">
        <f t="shared" si="3"/>
        <v>1.4</v>
      </c>
      <c r="T24" s="15">
        <f t="shared" si="4"/>
        <v>15</v>
      </c>
      <c r="U24" s="15">
        <f t="shared" si="5"/>
        <v>10</v>
      </c>
      <c r="V24" s="15">
        <f t="shared" si="6"/>
        <v>20</v>
      </c>
      <c r="W24" s="15">
        <f t="shared" si="7"/>
        <v>10</v>
      </c>
      <c r="X24" s="15">
        <f t="shared" si="8"/>
        <v>0</v>
      </c>
      <c r="Y24" s="15">
        <f t="shared" si="9"/>
        <v>5</v>
      </c>
      <c r="Z24" s="15">
        <f t="shared" si="10"/>
        <v>0</v>
      </c>
      <c r="AA24" s="16">
        <f t="shared" si="11"/>
        <v>60</v>
      </c>
      <c r="AB24" s="16" t="str">
        <f t="shared" si="12"/>
        <v>Amber</v>
      </c>
      <c r="AC24" s="1"/>
    </row>
    <row r="25" spans="1:29" ht="17.25" customHeight="1" thickBot="1" x14ac:dyDescent="0.35">
      <c r="A25" t="s">
        <v>23</v>
      </c>
      <c r="C25" s="1">
        <v>5</v>
      </c>
      <c r="D25" s="1">
        <v>0</v>
      </c>
      <c r="E25" s="1">
        <v>0</v>
      </c>
      <c r="F25" s="1">
        <v>0</v>
      </c>
      <c r="G25" s="1">
        <v>0</v>
      </c>
      <c r="H25" s="1">
        <v>2</v>
      </c>
      <c r="I25" s="1">
        <v>6</v>
      </c>
      <c r="J25" s="1">
        <v>22</v>
      </c>
      <c r="K25" s="1">
        <v>16</v>
      </c>
      <c r="L25" s="1">
        <v>1</v>
      </c>
      <c r="M25" s="1">
        <v>6</v>
      </c>
      <c r="N25" s="1">
        <v>1886800</v>
      </c>
      <c r="O25" s="1">
        <v>2</v>
      </c>
      <c r="P25" s="13">
        <f t="shared" si="0"/>
        <v>8</v>
      </c>
      <c r="Q25" s="14">
        <f t="shared" si="1"/>
        <v>1.6</v>
      </c>
      <c r="R25" s="14">
        <f t="shared" si="2"/>
        <v>0.2</v>
      </c>
      <c r="S25" s="14">
        <f t="shared" si="3"/>
        <v>1.2</v>
      </c>
      <c r="T25" s="15">
        <f t="shared" si="4"/>
        <v>15</v>
      </c>
      <c r="U25" s="15">
        <f t="shared" si="5"/>
        <v>10</v>
      </c>
      <c r="V25" s="15">
        <f t="shared" si="6"/>
        <v>20</v>
      </c>
      <c r="W25" s="15">
        <f t="shared" si="7"/>
        <v>0</v>
      </c>
      <c r="X25" s="15">
        <f t="shared" si="8"/>
        <v>10</v>
      </c>
      <c r="Y25" s="15">
        <f t="shared" si="9"/>
        <v>5</v>
      </c>
      <c r="Z25" s="15">
        <f t="shared" si="10"/>
        <v>0</v>
      </c>
      <c r="AA25" s="16">
        <f t="shared" si="11"/>
        <v>60</v>
      </c>
      <c r="AB25" s="16" t="str">
        <f t="shared" si="12"/>
        <v>Amber</v>
      </c>
      <c r="AC25" s="1"/>
    </row>
    <row r="26" spans="1:29" ht="17.25" customHeight="1" thickBot="1" x14ac:dyDescent="0.35">
      <c r="A26" t="s">
        <v>7</v>
      </c>
      <c r="C26" s="1">
        <v>4</v>
      </c>
      <c r="D26" s="1">
        <v>1</v>
      </c>
      <c r="E26" s="1">
        <v>0</v>
      </c>
      <c r="F26" s="1">
        <v>0</v>
      </c>
      <c r="G26" s="1">
        <v>0</v>
      </c>
      <c r="H26" s="1">
        <v>3</v>
      </c>
      <c r="I26" s="1">
        <v>1</v>
      </c>
      <c r="J26" s="1">
        <v>0</v>
      </c>
      <c r="K26" s="1">
        <v>3</v>
      </c>
      <c r="L26" s="1">
        <v>0</v>
      </c>
      <c r="M26" s="1">
        <v>8</v>
      </c>
      <c r="N26" s="1">
        <v>670000</v>
      </c>
      <c r="O26" s="1">
        <v>11</v>
      </c>
      <c r="P26" s="13">
        <f t="shared" si="0"/>
        <v>4</v>
      </c>
      <c r="Q26" s="14">
        <f t="shared" si="1"/>
        <v>0.8</v>
      </c>
      <c r="R26" s="14">
        <f t="shared" si="2"/>
        <v>0</v>
      </c>
      <c r="S26" s="14">
        <f t="shared" si="3"/>
        <v>1.6</v>
      </c>
      <c r="T26" s="15">
        <f t="shared" si="4"/>
        <v>10</v>
      </c>
      <c r="U26" s="15">
        <f t="shared" si="5"/>
        <v>10</v>
      </c>
      <c r="V26" s="15">
        <f t="shared" si="6"/>
        <v>10</v>
      </c>
      <c r="W26" s="15">
        <f t="shared" si="7"/>
        <v>0</v>
      </c>
      <c r="X26" s="15">
        <f t="shared" si="8"/>
        <v>0</v>
      </c>
      <c r="Y26" s="15">
        <f t="shared" si="9"/>
        <v>5</v>
      </c>
      <c r="Z26" s="15">
        <f t="shared" si="10"/>
        <v>5</v>
      </c>
      <c r="AA26" s="16">
        <f t="shared" si="11"/>
        <v>40</v>
      </c>
      <c r="AB26" s="16" t="str">
        <f t="shared" si="12"/>
        <v>Red</v>
      </c>
      <c r="AC26" s="1"/>
    </row>
    <row r="27" spans="1:29" ht="17.25" customHeight="1" thickBot="1" x14ac:dyDescent="0.35">
      <c r="A27" t="s">
        <v>8</v>
      </c>
      <c r="C27" s="2">
        <v>5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5</v>
      </c>
      <c r="J27" s="2">
        <v>0</v>
      </c>
      <c r="K27" s="2">
        <v>10</v>
      </c>
      <c r="L27" s="2">
        <v>1</v>
      </c>
      <c r="M27" s="2">
        <v>6</v>
      </c>
      <c r="N27" s="2">
        <v>1176000</v>
      </c>
      <c r="O27" s="2">
        <v>4</v>
      </c>
      <c r="P27" s="13">
        <f t="shared" si="0"/>
        <v>6</v>
      </c>
      <c r="Q27" s="14">
        <f t="shared" si="1"/>
        <v>1.2</v>
      </c>
      <c r="R27" s="14">
        <f t="shared" si="2"/>
        <v>0.2</v>
      </c>
      <c r="S27" s="14">
        <f t="shared" si="3"/>
        <v>1.2</v>
      </c>
      <c r="T27" s="15">
        <f t="shared" si="4"/>
        <v>15</v>
      </c>
      <c r="U27" s="15">
        <f t="shared" si="5"/>
        <v>10</v>
      </c>
      <c r="V27" s="15">
        <f t="shared" si="6"/>
        <v>20</v>
      </c>
      <c r="W27" s="15">
        <f t="shared" si="7"/>
        <v>0</v>
      </c>
      <c r="X27" s="15">
        <f t="shared" si="8"/>
        <v>10</v>
      </c>
      <c r="Y27" s="15">
        <f t="shared" si="9"/>
        <v>5</v>
      </c>
      <c r="Z27" s="15">
        <f t="shared" si="10"/>
        <v>0</v>
      </c>
      <c r="AA27" s="16">
        <f t="shared" si="11"/>
        <v>60</v>
      </c>
      <c r="AB27" s="16" t="str">
        <f t="shared" si="12"/>
        <v>Amber</v>
      </c>
      <c r="AC27" s="1"/>
    </row>
    <row r="28" spans="1:29" ht="17.25" customHeight="1" thickBot="1" x14ac:dyDescent="0.35">
      <c r="A28" t="s">
        <v>6</v>
      </c>
      <c r="C28" s="2">
        <v>5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7</v>
      </c>
      <c r="J28" s="2">
        <v>5</v>
      </c>
      <c r="K28" s="2">
        <v>6</v>
      </c>
      <c r="L28" s="2">
        <v>0</v>
      </c>
      <c r="M28" s="2">
        <v>26</v>
      </c>
      <c r="N28" s="2">
        <v>11011300</v>
      </c>
      <c r="O28" s="2">
        <v>2</v>
      </c>
      <c r="P28" s="13">
        <f t="shared" si="0"/>
        <v>7</v>
      </c>
      <c r="Q28" s="14">
        <f t="shared" si="1"/>
        <v>1.4</v>
      </c>
      <c r="R28" s="14">
        <f t="shared" si="2"/>
        <v>0</v>
      </c>
      <c r="S28" s="14">
        <f t="shared" si="3"/>
        <v>5.2</v>
      </c>
      <c r="T28" s="15">
        <f t="shared" si="4"/>
        <v>15</v>
      </c>
      <c r="U28" s="15">
        <f t="shared" si="5"/>
        <v>10</v>
      </c>
      <c r="V28" s="15">
        <f t="shared" si="6"/>
        <v>20</v>
      </c>
      <c r="W28" s="15">
        <f t="shared" si="7"/>
        <v>0</v>
      </c>
      <c r="X28" s="15">
        <f t="shared" si="8"/>
        <v>0</v>
      </c>
      <c r="Y28" s="15">
        <f t="shared" si="9"/>
        <v>10</v>
      </c>
      <c r="Z28" s="15">
        <f t="shared" si="10"/>
        <v>0</v>
      </c>
      <c r="AA28" s="16">
        <f t="shared" si="11"/>
        <v>55</v>
      </c>
      <c r="AB28" s="16" t="str">
        <f t="shared" si="12"/>
        <v>Amber</v>
      </c>
      <c r="AC28" s="1"/>
    </row>
    <row r="29" spans="1:29" ht="17.25" customHeight="1" thickBot="1" x14ac:dyDescent="0.35">
      <c r="A29" t="s">
        <v>1</v>
      </c>
      <c r="C29" s="1">
        <v>5</v>
      </c>
      <c r="D29" s="1">
        <v>0</v>
      </c>
      <c r="E29" s="1">
        <v>0</v>
      </c>
      <c r="F29" s="1">
        <v>0</v>
      </c>
      <c r="G29" s="1">
        <v>0</v>
      </c>
      <c r="H29" s="1">
        <v>3</v>
      </c>
      <c r="I29" s="1">
        <v>10</v>
      </c>
      <c r="J29" s="1">
        <v>2</v>
      </c>
      <c r="K29" s="1">
        <v>3</v>
      </c>
      <c r="L29" s="1">
        <v>0</v>
      </c>
      <c r="M29" s="1">
        <v>12</v>
      </c>
      <c r="N29" s="1">
        <v>1410000</v>
      </c>
      <c r="O29" s="1">
        <v>6</v>
      </c>
      <c r="P29" s="13">
        <f t="shared" si="0"/>
        <v>13</v>
      </c>
      <c r="Q29" s="14">
        <f t="shared" si="1"/>
        <v>2.6</v>
      </c>
      <c r="R29" s="14">
        <f t="shared" si="2"/>
        <v>0</v>
      </c>
      <c r="S29" s="14">
        <f t="shared" si="3"/>
        <v>2.4</v>
      </c>
      <c r="T29" s="15">
        <f t="shared" si="4"/>
        <v>15</v>
      </c>
      <c r="U29" s="15">
        <f t="shared" si="5"/>
        <v>10</v>
      </c>
      <c r="V29" s="15">
        <f t="shared" si="6"/>
        <v>20</v>
      </c>
      <c r="W29" s="15">
        <f t="shared" si="7"/>
        <v>0</v>
      </c>
      <c r="X29" s="15">
        <f t="shared" si="8"/>
        <v>0</v>
      </c>
      <c r="Y29" s="15">
        <f t="shared" si="9"/>
        <v>10</v>
      </c>
      <c r="Z29" s="15">
        <f t="shared" si="10"/>
        <v>0</v>
      </c>
      <c r="AA29" s="16">
        <f t="shared" si="11"/>
        <v>55</v>
      </c>
      <c r="AB29" s="16" t="str">
        <f t="shared" si="12"/>
        <v>Amber</v>
      </c>
      <c r="AC29" s="1"/>
    </row>
    <row r="30" spans="1:29" ht="33" customHeight="1" thickBot="1" x14ac:dyDescent="0.35">
      <c r="A30" t="s">
        <v>2</v>
      </c>
      <c r="C30" s="2">
        <v>5</v>
      </c>
      <c r="D30" s="2">
        <v>0</v>
      </c>
      <c r="E30" s="2">
        <v>0</v>
      </c>
      <c r="F30" s="2">
        <v>0</v>
      </c>
      <c r="G30" s="2">
        <v>0</v>
      </c>
      <c r="H30" s="2">
        <v>4</v>
      </c>
      <c r="I30" s="2">
        <v>3</v>
      </c>
      <c r="J30" s="2">
        <v>2</v>
      </c>
      <c r="K30" s="2">
        <v>11</v>
      </c>
      <c r="L30" s="2">
        <v>1</v>
      </c>
      <c r="M30" s="2">
        <v>12</v>
      </c>
      <c r="N30" s="2">
        <v>50000</v>
      </c>
      <c r="O30" s="2">
        <v>5</v>
      </c>
      <c r="P30" s="13">
        <f t="shared" si="0"/>
        <v>7</v>
      </c>
      <c r="Q30" s="14">
        <f t="shared" si="1"/>
        <v>1.4</v>
      </c>
      <c r="R30" s="14">
        <f t="shared" si="2"/>
        <v>0.2</v>
      </c>
      <c r="S30" s="14">
        <f t="shared" si="3"/>
        <v>2.4</v>
      </c>
      <c r="T30" s="15">
        <f t="shared" si="4"/>
        <v>15</v>
      </c>
      <c r="U30" s="15">
        <f t="shared" si="5"/>
        <v>10</v>
      </c>
      <c r="V30" s="15">
        <f t="shared" si="6"/>
        <v>20</v>
      </c>
      <c r="W30" s="15">
        <f t="shared" si="7"/>
        <v>0</v>
      </c>
      <c r="X30" s="15">
        <f t="shared" si="8"/>
        <v>10</v>
      </c>
      <c r="Y30" s="15">
        <f t="shared" si="9"/>
        <v>10</v>
      </c>
      <c r="Z30" s="15">
        <f t="shared" si="10"/>
        <v>0</v>
      </c>
      <c r="AA30" s="16">
        <f t="shared" si="11"/>
        <v>65</v>
      </c>
      <c r="AB30" s="16" t="str">
        <f t="shared" si="12"/>
        <v>Amber</v>
      </c>
      <c r="AC30" s="2"/>
    </row>
    <row r="31" spans="1:29" ht="33" customHeight="1" thickBot="1" x14ac:dyDescent="0.35">
      <c r="A31" t="s">
        <v>3</v>
      </c>
      <c r="C31" s="1">
        <v>3</v>
      </c>
      <c r="D31" s="1">
        <v>0</v>
      </c>
      <c r="E31" s="1">
        <v>2</v>
      </c>
      <c r="F31" s="1">
        <v>0</v>
      </c>
      <c r="G31" s="1">
        <v>0</v>
      </c>
      <c r="H31" s="1">
        <v>7</v>
      </c>
      <c r="I31" s="1">
        <v>18</v>
      </c>
      <c r="J31" s="1">
        <v>2</v>
      </c>
      <c r="K31" s="1">
        <v>4</v>
      </c>
      <c r="L31" s="1">
        <v>1</v>
      </c>
      <c r="M31" s="1">
        <v>6</v>
      </c>
      <c r="N31" s="1">
        <v>3300000</v>
      </c>
      <c r="O31" s="1">
        <v>0</v>
      </c>
      <c r="P31" s="13">
        <f t="shared" si="0"/>
        <v>25</v>
      </c>
      <c r="Q31" s="14">
        <f t="shared" si="1"/>
        <v>5</v>
      </c>
      <c r="R31" s="14">
        <f t="shared" si="2"/>
        <v>0.2</v>
      </c>
      <c r="S31" s="14">
        <f t="shared" si="3"/>
        <v>1.2</v>
      </c>
      <c r="T31" s="15">
        <f t="shared" si="4"/>
        <v>15</v>
      </c>
      <c r="U31" s="15">
        <f t="shared" si="5"/>
        <v>0</v>
      </c>
      <c r="V31" s="15">
        <f t="shared" si="6"/>
        <v>20</v>
      </c>
      <c r="W31" s="15">
        <f t="shared" si="7"/>
        <v>0</v>
      </c>
      <c r="X31" s="15">
        <f t="shared" si="8"/>
        <v>10</v>
      </c>
      <c r="Y31" s="15">
        <f t="shared" si="9"/>
        <v>5</v>
      </c>
      <c r="Z31" s="15">
        <f t="shared" si="10"/>
        <v>0</v>
      </c>
      <c r="AA31" s="16">
        <f t="shared" si="11"/>
        <v>50</v>
      </c>
      <c r="AB31" s="16" t="str">
        <f t="shared" si="12"/>
        <v>Amber</v>
      </c>
      <c r="AC31" s="1"/>
    </row>
    <row r="32" spans="1:29" ht="33" customHeight="1" thickBot="1" x14ac:dyDescent="0.35">
      <c r="A32" t="s">
        <v>4</v>
      </c>
      <c r="C32" s="2">
        <v>5</v>
      </c>
      <c r="D32" s="2">
        <v>0</v>
      </c>
      <c r="E32" s="2">
        <v>0</v>
      </c>
      <c r="F32" s="2">
        <v>0</v>
      </c>
      <c r="G32" s="2">
        <v>0</v>
      </c>
      <c r="H32" s="2">
        <v>2</v>
      </c>
      <c r="I32" s="2">
        <v>1</v>
      </c>
      <c r="J32" s="2">
        <v>0</v>
      </c>
      <c r="K32" s="2">
        <v>1</v>
      </c>
      <c r="L32" s="2">
        <v>1</v>
      </c>
      <c r="M32" s="2">
        <v>4</v>
      </c>
      <c r="N32" s="2">
        <v>2590000</v>
      </c>
      <c r="O32" s="2">
        <v>0</v>
      </c>
      <c r="P32" s="13">
        <f t="shared" si="0"/>
        <v>3</v>
      </c>
      <c r="Q32" s="14">
        <f t="shared" si="1"/>
        <v>0.6</v>
      </c>
      <c r="R32" s="14">
        <f t="shared" si="2"/>
        <v>0.2</v>
      </c>
      <c r="S32" s="14">
        <f t="shared" si="3"/>
        <v>0.8</v>
      </c>
      <c r="T32" s="15">
        <f t="shared" si="4"/>
        <v>15</v>
      </c>
      <c r="U32" s="15">
        <f t="shared" si="5"/>
        <v>10</v>
      </c>
      <c r="V32" s="15">
        <f t="shared" si="6"/>
        <v>5</v>
      </c>
      <c r="W32" s="15">
        <f t="shared" si="7"/>
        <v>0</v>
      </c>
      <c r="X32" s="15">
        <f t="shared" si="8"/>
        <v>10</v>
      </c>
      <c r="Y32" s="15">
        <f t="shared" si="9"/>
        <v>0</v>
      </c>
      <c r="Z32" s="15">
        <f t="shared" si="10"/>
        <v>0</v>
      </c>
      <c r="AA32" s="16">
        <f t="shared" si="11"/>
        <v>40</v>
      </c>
      <c r="AB32" s="16" t="str">
        <f t="shared" si="12"/>
        <v>Red</v>
      </c>
      <c r="AC32" s="2"/>
    </row>
    <row r="33" spans="1:29" ht="33" customHeight="1" thickBot="1" x14ac:dyDescent="0.35">
      <c r="A33" t="s">
        <v>5</v>
      </c>
      <c r="C33" s="1">
        <v>5</v>
      </c>
      <c r="D33" s="1">
        <v>0</v>
      </c>
      <c r="E33" s="1">
        <v>0</v>
      </c>
      <c r="F33" s="1">
        <v>0</v>
      </c>
      <c r="G33" s="1">
        <v>0</v>
      </c>
      <c r="H33" s="1">
        <v>5</v>
      </c>
      <c r="I33" s="1">
        <v>5</v>
      </c>
      <c r="J33" s="1">
        <v>6</v>
      </c>
      <c r="K33" s="1">
        <v>4</v>
      </c>
      <c r="L33" s="1">
        <v>2</v>
      </c>
      <c r="M33" s="1">
        <v>16</v>
      </c>
      <c r="N33" s="1">
        <v>492000</v>
      </c>
      <c r="O33" s="1">
        <v>3</v>
      </c>
      <c r="P33" s="13">
        <f t="shared" si="0"/>
        <v>10</v>
      </c>
      <c r="Q33" s="14">
        <f t="shared" si="1"/>
        <v>2</v>
      </c>
      <c r="R33" s="14">
        <f t="shared" si="2"/>
        <v>0.4</v>
      </c>
      <c r="S33" s="14">
        <f t="shared" si="3"/>
        <v>3.2</v>
      </c>
      <c r="T33" s="15">
        <f t="shared" si="4"/>
        <v>15</v>
      </c>
      <c r="U33" s="15">
        <f t="shared" si="5"/>
        <v>10</v>
      </c>
      <c r="V33" s="15">
        <f t="shared" si="6"/>
        <v>20</v>
      </c>
      <c r="W33" s="15">
        <f t="shared" si="7"/>
        <v>0</v>
      </c>
      <c r="X33" s="15">
        <f t="shared" si="8"/>
        <v>15</v>
      </c>
      <c r="Y33" s="15">
        <f t="shared" si="9"/>
        <v>10</v>
      </c>
      <c r="Z33" s="15">
        <f t="shared" si="10"/>
        <v>0</v>
      </c>
      <c r="AA33" s="16">
        <f t="shared" si="11"/>
        <v>70</v>
      </c>
      <c r="AB33" s="16" t="str">
        <f t="shared" si="12"/>
        <v>Green</v>
      </c>
      <c r="AC33" s="1"/>
    </row>
    <row r="34" spans="1:29" ht="33" customHeight="1" thickBot="1" x14ac:dyDescent="0.3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3">
        <f t="shared" ref="P34:P36" si="13">H34+I34</f>
        <v>0</v>
      </c>
      <c r="Q34" s="14" t="e">
        <f t="shared" ref="Q34:Q36" si="14">P34/(C34+D34+E34+F34+G34)</f>
        <v>#DIV/0!</v>
      </c>
      <c r="R34" s="14" t="e">
        <f t="shared" ref="R34:R36" si="15">L34/(C34+D34+E34+F34+G34)</f>
        <v>#DIV/0!</v>
      </c>
      <c r="S34" s="14" t="e">
        <f t="shared" ref="S34:S36" si="16">M34/(C34+D34+E34+F34+G34)</f>
        <v>#DIV/0!</v>
      </c>
      <c r="T34" s="15">
        <f t="shared" ref="T34:T36" si="17">IF(D34&gt;2,0,IF(D34=2,5,IF(D34=1,10,IF(D34&lt;1,15))))</f>
        <v>15</v>
      </c>
      <c r="U34" s="15">
        <f t="shared" ref="U34:U36" si="18">IF(E34&gt;=2,0,IF(E34=1,5,IF(E34=0,10)))</f>
        <v>10</v>
      </c>
      <c r="V34" s="15" t="e">
        <f t="shared" ref="V34:V36" si="19">IF(Q34&lt;0.5,0,IF(Q34&lt;0.75,5,IF(Q34&lt;1,10,IF(Q34&lt;1.2,15,IF(Q34&gt;=1.2,20)))))</f>
        <v>#DIV/0!</v>
      </c>
      <c r="W34" s="15">
        <f t="shared" ref="W34:W36" si="20">IF(N34&lt;25000000,0,IF(N34&lt;50000000,5,IF(N34&lt;100000000,10,IF(N34&gt;=100000000,15))))</f>
        <v>0</v>
      </c>
      <c r="X34" s="15" t="e">
        <f t="shared" ref="X34:X36" si="21">IF(R34&lt;0.1,0,IF(R34&lt;0.2,5,IF(R34&lt;0.4,10,IF(R34&lt;0.6,15,IF(R34&gt;=0.6,20)))))</f>
        <v>#DIV/0!</v>
      </c>
      <c r="Y34" s="15" t="e">
        <f t="shared" ref="Y34:Y36" si="22">IF(S34&lt;1,0,IF(S34&lt;2,5,IF(S34&gt;=2,10)))</f>
        <v>#DIV/0!</v>
      </c>
      <c r="Z34" s="15">
        <f t="shared" ref="Z34:Z36" si="23">IF(O34&lt;10,0,IF(O34&lt;20,5,IF(O34&gt;=20,10)))</f>
        <v>0</v>
      </c>
      <c r="AA34" s="16" t="e">
        <f t="shared" ref="AA34:AA36" si="24">SUM(T34:Z34)</f>
        <v>#DIV/0!</v>
      </c>
      <c r="AB34" s="16" t="e">
        <f t="shared" ref="AB34:AB36" si="25">IF(AA34&lt;30,"Grey",IF(AA34&lt;50,"Red",IF(AA34&lt;70,"Amber",IF(AA34&gt;=70,"Green"))))</f>
        <v>#DIV/0!</v>
      </c>
      <c r="AC34" s="1"/>
    </row>
    <row r="35" spans="1:29" ht="33" customHeight="1" thickBo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3">
        <f t="shared" si="13"/>
        <v>0</v>
      </c>
      <c r="Q35" s="14" t="e">
        <f t="shared" si="14"/>
        <v>#DIV/0!</v>
      </c>
      <c r="R35" s="14" t="e">
        <f t="shared" si="15"/>
        <v>#DIV/0!</v>
      </c>
      <c r="S35" s="14" t="e">
        <f t="shared" si="16"/>
        <v>#DIV/0!</v>
      </c>
      <c r="T35" s="15">
        <f t="shared" si="17"/>
        <v>15</v>
      </c>
      <c r="U35" s="15">
        <f t="shared" si="18"/>
        <v>10</v>
      </c>
      <c r="V35" s="15" t="e">
        <f t="shared" si="19"/>
        <v>#DIV/0!</v>
      </c>
      <c r="W35" s="15">
        <f t="shared" si="20"/>
        <v>0</v>
      </c>
      <c r="X35" s="15" t="e">
        <f t="shared" si="21"/>
        <v>#DIV/0!</v>
      </c>
      <c r="Y35" s="15" t="e">
        <f t="shared" si="22"/>
        <v>#DIV/0!</v>
      </c>
      <c r="Z35" s="15">
        <f t="shared" si="23"/>
        <v>0</v>
      </c>
      <c r="AA35" s="16" t="e">
        <f t="shared" si="24"/>
        <v>#DIV/0!</v>
      </c>
      <c r="AB35" s="16" t="e">
        <f t="shared" si="25"/>
        <v>#DIV/0!</v>
      </c>
      <c r="AC35" s="2"/>
    </row>
    <row r="36" spans="1:29" ht="17.25" thickBot="1" x14ac:dyDescent="0.35"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18"/>
      <c r="O36" s="2"/>
      <c r="P36" s="13">
        <f t="shared" si="13"/>
        <v>0</v>
      </c>
      <c r="Q36" s="14" t="e">
        <f t="shared" si="14"/>
        <v>#DIV/0!</v>
      </c>
      <c r="R36" s="14" t="e">
        <f t="shared" si="15"/>
        <v>#DIV/0!</v>
      </c>
      <c r="S36" s="14" t="e">
        <f t="shared" si="16"/>
        <v>#DIV/0!</v>
      </c>
      <c r="T36" s="15">
        <f t="shared" si="17"/>
        <v>15</v>
      </c>
      <c r="U36" s="15">
        <f t="shared" si="18"/>
        <v>10</v>
      </c>
      <c r="V36" s="15" t="e">
        <f t="shared" si="19"/>
        <v>#DIV/0!</v>
      </c>
      <c r="W36" s="15">
        <f t="shared" si="20"/>
        <v>0</v>
      </c>
      <c r="X36" s="15" t="e">
        <f t="shared" si="21"/>
        <v>#DIV/0!</v>
      </c>
      <c r="Y36" s="15" t="e">
        <f t="shared" si="22"/>
        <v>#DIV/0!</v>
      </c>
      <c r="Z36" s="15">
        <f t="shared" si="23"/>
        <v>0</v>
      </c>
      <c r="AA36" s="16" t="e">
        <f t="shared" si="24"/>
        <v>#DIV/0!</v>
      </c>
      <c r="AB36" s="16" t="e">
        <f t="shared" si="25"/>
        <v>#DIV/0!</v>
      </c>
      <c r="AC36" s="2"/>
    </row>
  </sheetData>
  <autoFilter ref="A2:AB2" xr:uid="{D18A08B8-FCCE-4104-A002-FEF0FB0F8489}">
    <sortState xmlns:xlrd2="http://schemas.microsoft.com/office/spreadsheetml/2017/richdata2" ref="A3:AB33">
      <sortCondition ref="A2"/>
    </sortState>
  </autoFilter>
  <phoneticPr fontId="5" type="noConversion"/>
  <conditionalFormatting sqref="AA3:AA36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BF38-321B-4222-B9A1-075A58797BE9}">
  <dimension ref="A1:AC36"/>
  <sheetViews>
    <sheetView workbookViewId="0">
      <selection sqref="A1:XFD1048576"/>
    </sheetView>
  </sheetViews>
  <sheetFormatPr defaultRowHeight="16.5" x14ac:dyDescent="0.3"/>
  <cols>
    <col min="1" max="1" width="11.125" bestFit="1" customWidth="1"/>
    <col min="3" max="13" width="3.875" customWidth="1"/>
    <col min="14" max="14" width="10" bestFit="1" customWidth="1"/>
    <col min="15" max="15" width="5.125" customWidth="1"/>
    <col min="16" max="26" width="4.5" customWidth="1"/>
  </cols>
  <sheetData>
    <row r="1" spans="1:29" x14ac:dyDescent="0.3">
      <c r="A1" s="17" t="s">
        <v>61</v>
      </c>
    </row>
    <row r="2" spans="1:29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9" ht="33" customHeight="1" thickBot="1" x14ac:dyDescent="0.35">
      <c r="A3" t="s">
        <v>17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>
        <v>2</v>
      </c>
      <c r="I3" s="1">
        <v>3</v>
      </c>
      <c r="J3" s="1">
        <v>1</v>
      </c>
      <c r="K3" s="1">
        <v>4</v>
      </c>
      <c r="L3" s="1">
        <v>0</v>
      </c>
      <c r="M3" s="1">
        <v>17</v>
      </c>
      <c r="N3" s="1">
        <v>15901300</v>
      </c>
      <c r="O3" s="1">
        <v>3</v>
      </c>
      <c r="P3" s="13">
        <f>H3+I3</f>
        <v>5</v>
      </c>
      <c r="Q3" s="14">
        <f>P3/(C3+D3+E3+F3+G3)</f>
        <v>1.25</v>
      </c>
      <c r="R3" s="14">
        <f>L3/(C3+D3+E3+F3+G3)</f>
        <v>0</v>
      </c>
      <c r="S3" s="14">
        <f>M3/(C3+D3+E3+F3+G3)</f>
        <v>4.25</v>
      </c>
      <c r="T3" s="15">
        <f>IF(D3&gt;2,0,IF(D3=2,5,IF(D3=1,10,IF(D3&lt;1,15))))</f>
        <v>15</v>
      </c>
      <c r="U3" s="15">
        <f>IF(E3&gt;=2,0,IF(E3=1,5,IF(E3=0,10)))</f>
        <v>10</v>
      </c>
      <c r="V3" s="15">
        <f>IF(Q3&lt;0.5,0,IF(Q3&lt;0.75,5,IF(Q3&lt;1,10,IF(Q3&lt;1.2,15,IF(Q3&gt;=1.2,20)))))</f>
        <v>20</v>
      </c>
      <c r="W3" s="15">
        <f>IF(N3&lt;25000000,0,IF(N3&lt;50000000,5,IF(N3&lt;100000000,10,IF(N3&gt;=100000000,15))))</f>
        <v>0</v>
      </c>
      <c r="X3" s="15">
        <f>IF(R3&lt;0.1,0,IF(R3&lt;0.2,5,IF(R3&lt;0.4,10,IF(R3&lt;0.6,15,IF(R3&gt;=0.6,20)))))</f>
        <v>0</v>
      </c>
      <c r="Y3" s="15">
        <f>IF(S3&lt;1,0,IF(S3&lt;2,5,IF(S3&gt;=2,10)))</f>
        <v>10</v>
      </c>
      <c r="Z3" s="15">
        <f>IF(O3&lt;10,0,IF(O3&lt;20,5,IF(O3&gt;=20,10)))</f>
        <v>0</v>
      </c>
      <c r="AA3" s="16">
        <f>SUM(T3:Z3)</f>
        <v>55</v>
      </c>
      <c r="AB3" s="16" t="str">
        <f>IF(AA3&lt;30,"Grey",IF(AA3&lt;50,"Red",IF(AA3&lt;70,"Amber",IF(AA3&gt;=70,"Green"))))</f>
        <v>Amber</v>
      </c>
      <c r="AC3" s="1"/>
    </row>
    <row r="4" spans="1:29" ht="33" customHeight="1" thickBot="1" x14ac:dyDescent="0.35">
      <c r="A4" t="s">
        <v>15</v>
      </c>
      <c r="C4" s="1">
        <v>3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21</v>
      </c>
      <c r="J4" s="1">
        <v>1</v>
      </c>
      <c r="K4" s="1">
        <v>4</v>
      </c>
      <c r="L4" s="1">
        <v>0</v>
      </c>
      <c r="M4" s="1">
        <v>6</v>
      </c>
      <c r="N4" s="1">
        <v>1118000</v>
      </c>
      <c r="O4" s="1">
        <v>8</v>
      </c>
      <c r="P4" s="13">
        <f>H4+I4</f>
        <v>21</v>
      </c>
      <c r="Q4" s="14">
        <f>P4/(C4+D4+E4+F4+G4)</f>
        <v>5.25</v>
      </c>
      <c r="R4" s="14">
        <f>L4/(C4+D4+E4+F4+G4)</f>
        <v>0</v>
      </c>
      <c r="S4" s="14">
        <f>M4/(C4+D4+E4+F4+G4)</f>
        <v>1.5</v>
      </c>
      <c r="T4" s="15">
        <f>IF(D4&gt;2,0,IF(D4=2,5,IF(D4=1,10,IF(D4&lt;1,15))))</f>
        <v>15</v>
      </c>
      <c r="U4" s="15">
        <f>IF(E4&gt;=2,0,IF(E4=1,5,IF(E4=0,10)))</f>
        <v>5</v>
      </c>
      <c r="V4" s="15">
        <f>IF(Q4&lt;0.5,0,IF(Q4&lt;0.75,5,IF(Q4&lt;1,10,IF(Q4&lt;1.2,15,IF(Q4&gt;=1.2,20)))))</f>
        <v>20</v>
      </c>
      <c r="W4" s="15">
        <f>IF(N4&lt;25000000,0,IF(N4&lt;50000000,5,IF(N4&lt;100000000,10,IF(N4&gt;=100000000,15))))</f>
        <v>0</v>
      </c>
      <c r="X4" s="15">
        <f>IF(R4&lt;0.1,0,IF(R4&lt;0.2,5,IF(R4&lt;0.4,10,IF(R4&lt;0.6,15,IF(R4&gt;=0.6,20)))))</f>
        <v>0</v>
      </c>
      <c r="Y4" s="15">
        <f>IF(S4&lt;1,0,IF(S4&lt;2,5,IF(S4&gt;=2,10)))</f>
        <v>5</v>
      </c>
      <c r="Z4" s="15">
        <f>IF(O4&lt;10,0,IF(O4&lt;20,5,IF(O4&gt;=20,10)))</f>
        <v>0</v>
      </c>
      <c r="AA4" s="16">
        <f>SUM(T4:Z4)</f>
        <v>45</v>
      </c>
      <c r="AB4" s="16" t="str">
        <f>IF(AA4&lt;30,"Grey",IF(AA4&lt;50,"Red",IF(AA4&lt;70,"Amber",IF(AA4&gt;=70,"Green"))))</f>
        <v>Red</v>
      </c>
      <c r="AC4" s="3"/>
    </row>
    <row r="5" spans="1:29" ht="17.25" customHeight="1" thickBot="1" x14ac:dyDescent="0.35">
      <c r="A5" t="s">
        <v>9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5</v>
      </c>
      <c r="J5" s="1">
        <v>3</v>
      </c>
      <c r="K5" s="1">
        <v>14</v>
      </c>
      <c r="L5" s="1">
        <v>0</v>
      </c>
      <c r="M5" s="1">
        <v>5</v>
      </c>
      <c r="N5" s="1">
        <v>2520000</v>
      </c>
      <c r="O5" s="1">
        <v>6</v>
      </c>
      <c r="P5" s="13">
        <f>H5+I5</f>
        <v>6</v>
      </c>
      <c r="Q5" s="14">
        <f>P5/(C5+D5+E5+F5+G5)</f>
        <v>1.5</v>
      </c>
      <c r="R5" s="14">
        <f>L5/(C5+D5+E5+F5+G5)</f>
        <v>0</v>
      </c>
      <c r="S5" s="14">
        <f>M5/(C5+D5+E5+F5+G5)</f>
        <v>1.25</v>
      </c>
      <c r="T5" s="15">
        <f>IF(D5&gt;2,0,IF(D5=2,5,IF(D5=1,10,IF(D5&lt;1,15))))</f>
        <v>15</v>
      </c>
      <c r="U5" s="15">
        <f>IF(E5&gt;=2,0,IF(E5=1,5,IF(E5=0,10)))</f>
        <v>10</v>
      </c>
      <c r="V5" s="15">
        <f>IF(Q5&lt;0.5,0,IF(Q5&lt;0.75,5,IF(Q5&lt;1,10,IF(Q5&lt;1.2,15,IF(Q5&gt;=1.2,20)))))</f>
        <v>20</v>
      </c>
      <c r="W5" s="15">
        <f>IF(N5&lt;25000000,0,IF(N5&lt;50000000,5,IF(N5&lt;100000000,10,IF(N5&gt;=100000000,15))))</f>
        <v>0</v>
      </c>
      <c r="X5" s="15">
        <f>IF(R5&lt;0.1,0,IF(R5&lt;0.2,5,IF(R5&lt;0.4,10,IF(R5&lt;0.6,15,IF(R5&gt;=0.6,20)))))</f>
        <v>0</v>
      </c>
      <c r="Y5" s="15">
        <f>IF(S5&lt;1,0,IF(S5&lt;2,5,IF(S5&gt;=2,10)))</f>
        <v>5</v>
      </c>
      <c r="Z5" s="15">
        <f>IF(O5&lt;10,0,IF(O5&lt;20,5,IF(O5&gt;=20,10)))</f>
        <v>0</v>
      </c>
      <c r="AA5" s="16">
        <f>SUM(T5:Z5)</f>
        <v>50</v>
      </c>
      <c r="AB5" s="16" t="str">
        <f>IF(AA5&lt;30,"Grey",IF(AA5&lt;50,"Red",IF(AA5&lt;70,"Amber",IF(AA5&gt;=70,"Green"))))</f>
        <v>Amber</v>
      </c>
      <c r="AC5" s="2"/>
    </row>
    <row r="6" spans="1:29" ht="33" customHeight="1" thickBot="1" x14ac:dyDescent="0.35">
      <c r="A6" t="s">
        <v>16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13">
        <f>H6+I6</f>
        <v>0</v>
      </c>
      <c r="Q6" s="14">
        <f>P6/(C6+D6+E6+F6+G6)</f>
        <v>0</v>
      </c>
      <c r="R6" s="14">
        <f>L6/(C6+D6+E6+F6+G6)</f>
        <v>0</v>
      </c>
      <c r="S6" s="14">
        <f>M6/(C6+D6+E6+F6+G6)</f>
        <v>0</v>
      </c>
      <c r="T6" s="15">
        <f>IF(D6&gt;2,0,IF(D6=2,5,IF(D6=1,10,IF(D6&lt;1,15))))</f>
        <v>15</v>
      </c>
      <c r="U6" s="15">
        <f>IF(E6&gt;=2,0,IF(E6=1,5,IF(E6=0,10)))</f>
        <v>10</v>
      </c>
      <c r="V6" s="15">
        <f>IF(Q6&lt;0.5,0,IF(Q6&lt;0.75,5,IF(Q6&lt;1,10,IF(Q6&lt;1.2,15,IF(Q6&gt;=1.2,20)))))</f>
        <v>0</v>
      </c>
      <c r="W6" s="15">
        <f>IF(N6&lt;25000000,0,IF(N6&lt;50000000,5,IF(N6&lt;100000000,10,IF(N6&gt;=100000000,15))))</f>
        <v>0</v>
      </c>
      <c r="X6" s="15">
        <f>IF(R6&lt;0.1,0,IF(R6&lt;0.2,5,IF(R6&lt;0.4,10,IF(R6&lt;0.6,15,IF(R6&gt;=0.6,20)))))</f>
        <v>0</v>
      </c>
      <c r="Y6" s="15">
        <f>IF(S6&lt;1,0,IF(S6&lt;2,5,IF(S6&gt;=2,10)))</f>
        <v>0</v>
      </c>
      <c r="Z6" s="15">
        <f>IF(O6&lt;10,0,IF(O6&lt;20,5,IF(O6&gt;=20,10)))</f>
        <v>0</v>
      </c>
      <c r="AA6" s="16">
        <f>SUM(T6:Z6)</f>
        <v>25</v>
      </c>
      <c r="AB6" s="16" t="str">
        <f>IF(AA6&lt;30,"Grey",IF(AA6&lt;50,"Red",IF(AA6&lt;70,"Amber",IF(AA6&gt;=70,"Green"))))</f>
        <v>Grey</v>
      </c>
      <c r="AC6" s="1"/>
    </row>
    <row r="7" spans="1:29" ht="33" customHeight="1" thickBot="1" x14ac:dyDescent="0.35">
      <c r="A7" t="s">
        <v>13</v>
      </c>
      <c r="C7" s="1">
        <v>3</v>
      </c>
      <c r="D7" s="1">
        <v>0</v>
      </c>
      <c r="E7" s="1">
        <v>0</v>
      </c>
      <c r="F7" s="1">
        <v>1</v>
      </c>
      <c r="G7" s="1">
        <v>0</v>
      </c>
      <c r="H7" s="1">
        <v>6</v>
      </c>
      <c r="I7" s="1">
        <v>4</v>
      </c>
      <c r="J7" s="1">
        <v>5</v>
      </c>
      <c r="K7" s="1">
        <v>8</v>
      </c>
      <c r="L7" s="1">
        <v>0</v>
      </c>
      <c r="M7" s="1">
        <v>10</v>
      </c>
      <c r="N7" s="1">
        <v>111676000</v>
      </c>
      <c r="O7" s="1">
        <v>11</v>
      </c>
      <c r="P7" s="13">
        <f>H7+I7</f>
        <v>10</v>
      </c>
      <c r="Q7" s="14">
        <f>P7/(C7+D7+E7+F7+G7)</f>
        <v>2.5</v>
      </c>
      <c r="R7" s="14">
        <f>L7/(C7+D7+E7+F7+G7)</f>
        <v>0</v>
      </c>
      <c r="S7" s="14">
        <f>M7/(C7+D7+E7+F7+G7)</f>
        <v>2.5</v>
      </c>
      <c r="T7" s="15">
        <f>IF(D7&gt;2,0,IF(D7=2,5,IF(D7=1,10,IF(D7&lt;1,15))))</f>
        <v>15</v>
      </c>
      <c r="U7" s="15">
        <f>IF(E7&gt;=2,0,IF(E7=1,5,IF(E7=0,10)))</f>
        <v>10</v>
      </c>
      <c r="V7" s="15">
        <f>IF(Q7&lt;0.5,0,IF(Q7&lt;0.75,5,IF(Q7&lt;1,10,IF(Q7&lt;1.2,15,IF(Q7&gt;=1.2,20)))))</f>
        <v>20</v>
      </c>
      <c r="W7" s="15">
        <f>IF(N7&lt;25000000,0,IF(N7&lt;50000000,5,IF(N7&lt;100000000,10,IF(N7&gt;=100000000,15))))</f>
        <v>15</v>
      </c>
      <c r="X7" s="15">
        <f>IF(R7&lt;0.1,0,IF(R7&lt;0.2,5,IF(R7&lt;0.4,10,IF(R7&lt;0.6,15,IF(R7&gt;=0.6,20)))))</f>
        <v>0</v>
      </c>
      <c r="Y7" s="15">
        <f>IF(S7&lt;1,0,IF(S7&lt;2,5,IF(S7&gt;=2,10)))</f>
        <v>10</v>
      </c>
      <c r="Z7" s="15">
        <f>IF(O7&lt;10,0,IF(O7&lt;20,5,IF(O7&gt;=20,10)))</f>
        <v>5</v>
      </c>
      <c r="AA7" s="16">
        <f>SUM(T7:Z7)</f>
        <v>75</v>
      </c>
      <c r="AB7" s="16" t="str">
        <f>IF(AA7&lt;30,"Grey",IF(AA7&lt;50,"Red",IF(AA7&lt;70,"Amber",IF(AA7&gt;=70,"Green"))))</f>
        <v>Green</v>
      </c>
      <c r="AC7" s="2"/>
    </row>
    <row r="8" spans="1:29" ht="33" customHeight="1" thickBot="1" x14ac:dyDescent="0.35">
      <c r="A8" t="s">
        <v>12</v>
      </c>
      <c r="C8" s="2">
        <v>3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3</v>
      </c>
      <c r="J8" s="2">
        <v>0</v>
      </c>
      <c r="K8" s="2">
        <v>3</v>
      </c>
      <c r="L8" s="2">
        <v>0</v>
      </c>
      <c r="M8" s="2">
        <v>7</v>
      </c>
      <c r="N8" s="2">
        <v>2000000</v>
      </c>
      <c r="O8" s="2">
        <v>3</v>
      </c>
      <c r="P8" s="13">
        <f>H8+I8</f>
        <v>4</v>
      </c>
      <c r="Q8" s="14">
        <f>P8/(C8+D8+E8+F8+G8)</f>
        <v>1</v>
      </c>
      <c r="R8" s="14">
        <f>L8/(C8+D8+E8+F8+G8)</f>
        <v>0</v>
      </c>
      <c r="S8" s="14">
        <f>M8/(C8+D8+E8+F8+G8)</f>
        <v>1.75</v>
      </c>
      <c r="T8" s="15">
        <f>IF(D8&gt;2,0,IF(D8=2,5,IF(D8=1,10,IF(D8&lt;1,15))))</f>
        <v>15</v>
      </c>
      <c r="U8" s="15">
        <f>IF(E8&gt;=2,0,IF(E8=1,5,IF(E8=0,10)))</f>
        <v>10</v>
      </c>
      <c r="V8" s="15">
        <f>IF(Q8&lt;0.5,0,IF(Q8&lt;0.75,5,IF(Q8&lt;1,10,IF(Q8&lt;1.2,15,IF(Q8&gt;=1.2,20)))))</f>
        <v>15</v>
      </c>
      <c r="W8" s="15">
        <f>IF(N8&lt;25000000,0,IF(N8&lt;50000000,5,IF(N8&lt;100000000,10,IF(N8&gt;=100000000,15))))</f>
        <v>0</v>
      </c>
      <c r="X8" s="15">
        <f>IF(R8&lt;0.1,0,IF(R8&lt;0.2,5,IF(R8&lt;0.4,10,IF(R8&lt;0.6,15,IF(R8&gt;=0.6,20)))))</f>
        <v>0</v>
      </c>
      <c r="Y8" s="15">
        <f>IF(S8&lt;1,0,IF(S8&lt;2,5,IF(S8&gt;=2,10)))</f>
        <v>5</v>
      </c>
      <c r="Z8" s="15">
        <f>IF(O8&lt;10,0,IF(O8&lt;20,5,IF(O8&gt;=20,10)))</f>
        <v>0</v>
      </c>
      <c r="AA8" s="16">
        <f>SUM(T8:Z8)</f>
        <v>45</v>
      </c>
      <c r="AB8" s="16" t="str">
        <f>IF(AA8&lt;30,"Grey",IF(AA8&lt;50,"Red",IF(AA8&lt;70,"Amber",IF(AA8&gt;=70,"Green"))))</f>
        <v>Red</v>
      </c>
      <c r="AC8" s="2"/>
    </row>
    <row r="9" spans="1:29" ht="17.25" customHeight="1" thickBot="1" x14ac:dyDescent="0.35">
      <c r="A9" t="s">
        <v>11</v>
      </c>
      <c r="C9" s="1">
        <v>3</v>
      </c>
      <c r="D9" s="1">
        <v>0</v>
      </c>
      <c r="E9" s="1">
        <v>0</v>
      </c>
      <c r="F9" s="1">
        <v>1</v>
      </c>
      <c r="G9" s="1">
        <v>0</v>
      </c>
      <c r="H9" s="1">
        <v>4</v>
      </c>
      <c r="I9" s="1">
        <v>7</v>
      </c>
      <c r="J9" s="1">
        <v>0</v>
      </c>
      <c r="K9" s="1">
        <v>0</v>
      </c>
      <c r="L9" s="1">
        <v>0</v>
      </c>
      <c r="M9" s="1">
        <v>20</v>
      </c>
      <c r="N9" s="1">
        <v>4540600</v>
      </c>
      <c r="O9" s="1">
        <v>11</v>
      </c>
      <c r="P9" s="13">
        <f>H9+I9</f>
        <v>11</v>
      </c>
      <c r="Q9" s="14">
        <f>P9/(C9+D9+E9+F9+G9)</f>
        <v>2.75</v>
      </c>
      <c r="R9" s="14">
        <f>L9/(C9+D9+E9+F9+G9)</f>
        <v>0</v>
      </c>
      <c r="S9" s="14">
        <f>M9/(C9+D9+E9+F9+G9)</f>
        <v>5</v>
      </c>
      <c r="T9" s="15">
        <f>IF(D9&gt;2,0,IF(D9=2,5,IF(D9=1,10,IF(D9&lt;1,15))))</f>
        <v>15</v>
      </c>
      <c r="U9" s="15">
        <f>IF(E9&gt;=2,0,IF(E9=1,5,IF(E9=0,10)))</f>
        <v>10</v>
      </c>
      <c r="V9" s="15">
        <f>IF(Q9&lt;0.5,0,IF(Q9&lt;0.75,5,IF(Q9&lt;1,10,IF(Q9&lt;1.2,15,IF(Q9&gt;=1.2,20)))))</f>
        <v>20</v>
      </c>
      <c r="W9" s="15">
        <f>IF(N9&lt;25000000,0,IF(N9&lt;50000000,5,IF(N9&lt;100000000,10,IF(N9&gt;=100000000,15))))</f>
        <v>0</v>
      </c>
      <c r="X9" s="15">
        <f>IF(R9&lt;0.1,0,IF(R9&lt;0.2,5,IF(R9&lt;0.4,10,IF(R9&lt;0.6,15,IF(R9&gt;=0.6,20)))))</f>
        <v>0</v>
      </c>
      <c r="Y9" s="15">
        <f>IF(S9&lt;1,0,IF(S9&lt;2,5,IF(S9&gt;=2,10)))</f>
        <v>10</v>
      </c>
      <c r="Z9" s="15">
        <f>IF(O9&lt;10,0,IF(O9&lt;20,5,IF(O9&gt;=20,10)))</f>
        <v>5</v>
      </c>
      <c r="AA9" s="16">
        <f>SUM(T9:Z9)</f>
        <v>60</v>
      </c>
      <c r="AB9" s="16" t="str">
        <f>IF(AA9&lt;30,"Grey",IF(AA9&lt;50,"Red",IF(AA9&lt;70,"Amber",IF(AA9&gt;=70,"Green"))))</f>
        <v>Amber</v>
      </c>
      <c r="AC9" s="1"/>
    </row>
    <row r="10" spans="1:29" ht="33" customHeight="1" thickBot="1" x14ac:dyDescent="0.35">
      <c r="A10" t="s">
        <v>10</v>
      </c>
      <c r="C10" s="2">
        <v>2</v>
      </c>
      <c r="D10" s="2">
        <v>0</v>
      </c>
      <c r="E10" s="2">
        <v>0</v>
      </c>
      <c r="F10" s="2">
        <v>2</v>
      </c>
      <c r="G10" s="2">
        <v>0</v>
      </c>
      <c r="H10" s="2">
        <v>0</v>
      </c>
      <c r="I10" s="2">
        <v>3</v>
      </c>
      <c r="J10" s="2">
        <v>0</v>
      </c>
      <c r="K10" s="2">
        <v>15</v>
      </c>
      <c r="L10" s="2">
        <v>1</v>
      </c>
      <c r="M10" s="2">
        <v>5</v>
      </c>
      <c r="N10" s="2">
        <v>0</v>
      </c>
      <c r="O10" s="2">
        <v>0</v>
      </c>
      <c r="P10" s="13">
        <f>H10+I10</f>
        <v>3</v>
      </c>
      <c r="Q10" s="14">
        <f>P10/(C10+D10+E10+F10+G10)</f>
        <v>0.75</v>
      </c>
      <c r="R10" s="14">
        <f>L10/(C10+D10+E10+F10+G10)</f>
        <v>0.25</v>
      </c>
      <c r="S10" s="14">
        <f>M10/(C10+D10+E10+F10+G10)</f>
        <v>1.25</v>
      </c>
      <c r="T10" s="15">
        <f>IF(D10&gt;2,0,IF(D10=2,5,IF(D10=1,10,IF(D10&lt;1,15))))</f>
        <v>15</v>
      </c>
      <c r="U10" s="15">
        <f>IF(E10&gt;=2,0,IF(E10=1,5,IF(E10=0,10)))</f>
        <v>10</v>
      </c>
      <c r="V10" s="15">
        <f>IF(Q10&lt;0.5,0,IF(Q10&lt;0.75,5,IF(Q10&lt;1,10,IF(Q10&lt;1.2,15,IF(Q10&gt;=1.2,20)))))</f>
        <v>10</v>
      </c>
      <c r="W10" s="15">
        <f>IF(N10&lt;25000000,0,IF(N10&lt;50000000,5,IF(N10&lt;100000000,10,IF(N10&gt;=100000000,15))))</f>
        <v>0</v>
      </c>
      <c r="X10" s="15">
        <f>IF(R10&lt;0.1,0,IF(R10&lt;0.2,5,IF(R10&lt;0.4,10,IF(R10&lt;0.6,15,IF(R10&gt;=0.6,20)))))</f>
        <v>10</v>
      </c>
      <c r="Y10" s="15">
        <f>IF(S10&lt;1,0,IF(S10&lt;2,5,IF(S10&gt;=2,10)))</f>
        <v>5</v>
      </c>
      <c r="Z10" s="15">
        <f>IF(O10&lt;10,0,IF(O10&lt;20,5,IF(O10&gt;=20,10)))</f>
        <v>0</v>
      </c>
      <c r="AA10" s="16">
        <f>SUM(T10:Z10)</f>
        <v>50</v>
      </c>
      <c r="AB10" s="16" t="str">
        <f>IF(AA10&lt;30,"Grey",IF(AA10&lt;50,"Red",IF(AA10&lt;70,"Amber",IF(AA10&gt;=70,"Green"))))</f>
        <v>Amber</v>
      </c>
      <c r="AC10" s="1"/>
    </row>
    <row r="11" spans="1:29" ht="33" customHeight="1" thickBot="1" x14ac:dyDescent="0.35">
      <c r="A11" t="s">
        <v>14</v>
      </c>
      <c r="C11" s="2">
        <v>4</v>
      </c>
      <c r="D11" s="2">
        <v>0</v>
      </c>
      <c r="E11" s="2">
        <v>0</v>
      </c>
      <c r="F11" s="2">
        <v>0</v>
      </c>
      <c r="G11" s="2">
        <v>0</v>
      </c>
      <c r="H11" s="2">
        <v>9</v>
      </c>
      <c r="I11" s="2">
        <v>5</v>
      </c>
      <c r="J11" s="2">
        <v>10</v>
      </c>
      <c r="K11" s="2">
        <v>10</v>
      </c>
      <c r="L11" s="2">
        <v>0</v>
      </c>
      <c r="M11" s="2">
        <v>19</v>
      </c>
      <c r="N11" s="2">
        <v>312000</v>
      </c>
      <c r="O11" s="2">
        <v>19</v>
      </c>
      <c r="P11" s="13">
        <f>H11+I11</f>
        <v>14</v>
      </c>
      <c r="Q11" s="14">
        <f>P11/(C11+D11+E11+F11+G11)</f>
        <v>3.5</v>
      </c>
      <c r="R11" s="14">
        <f>L11/(C11+D11+E11+F11+G11)</f>
        <v>0</v>
      </c>
      <c r="S11" s="14">
        <f>M11/(C11+D11+E11+F11+G11)</f>
        <v>4.75</v>
      </c>
      <c r="T11" s="15">
        <f>IF(D11&gt;2,0,IF(D11=2,5,IF(D11=1,10,IF(D11&lt;1,15))))</f>
        <v>15</v>
      </c>
      <c r="U11" s="15">
        <f>IF(E11&gt;=2,0,IF(E11=1,5,IF(E11=0,10)))</f>
        <v>10</v>
      </c>
      <c r="V11" s="15">
        <f>IF(Q11&lt;0.5,0,IF(Q11&lt;0.75,5,IF(Q11&lt;1,10,IF(Q11&lt;1.2,15,IF(Q11&gt;=1.2,20)))))</f>
        <v>20</v>
      </c>
      <c r="W11" s="15">
        <f>IF(N11&lt;25000000,0,IF(N11&lt;50000000,5,IF(N11&lt;100000000,10,IF(N11&gt;=100000000,15))))</f>
        <v>0</v>
      </c>
      <c r="X11" s="15">
        <f>IF(R11&lt;0.1,0,IF(R11&lt;0.2,5,IF(R11&lt;0.4,10,IF(R11&lt;0.6,15,IF(R11&gt;=0.6,20)))))</f>
        <v>0</v>
      </c>
      <c r="Y11" s="15">
        <f>IF(S11&lt;1,0,IF(S11&lt;2,5,IF(S11&gt;=2,10)))</f>
        <v>10</v>
      </c>
      <c r="Z11" s="15">
        <f>IF(O11&lt;10,0,IF(O11&lt;20,5,IF(O11&gt;=20,10)))</f>
        <v>5</v>
      </c>
      <c r="AA11" s="16">
        <f>SUM(T11:Z11)</f>
        <v>60</v>
      </c>
      <c r="AB11" s="16" t="str">
        <f>IF(AA11&lt;30,"Grey",IF(AA11&lt;50,"Red",IF(AA11&lt;70,"Amber",IF(AA11&gt;=70,"Green"))))</f>
        <v>Amber</v>
      </c>
      <c r="AC11" s="2"/>
    </row>
    <row r="12" spans="1:29" ht="33" customHeight="1" thickBot="1" x14ac:dyDescent="0.35">
      <c r="A12" t="s">
        <v>28</v>
      </c>
      <c r="C12" s="2">
        <v>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3</v>
      </c>
      <c r="N12" s="2">
        <v>0</v>
      </c>
      <c r="O12" s="2">
        <v>10</v>
      </c>
      <c r="P12" s="13">
        <f>H12+I12</f>
        <v>1</v>
      </c>
      <c r="Q12" s="14">
        <f>P12/(C12+D12+E12+F12+G12)</f>
        <v>0.25</v>
      </c>
      <c r="R12" s="14">
        <f>L12/(C12+D12+E12+F12+G12)</f>
        <v>0</v>
      </c>
      <c r="S12" s="14">
        <f>M12/(C12+D12+E12+F12+G12)</f>
        <v>0.75</v>
      </c>
      <c r="T12" s="15">
        <f>IF(D12&gt;2,0,IF(D12=2,5,IF(D12=1,10,IF(D12&lt;1,15))))</f>
        <v>15</v>
      </c>
      <c r="U12" s="15">
        <f>IF(E12&gt;=2,0,IF(E12=1,5,IF(E12=0,10)))</f>
        <v>10</v>
      </c>
      <c r="V12" s="15">
        <f>IF(Q12&lt;0.5,0,IF(Q12&lt;0.75,5,IF(Q12&lt;1,10,IF(Q12&lt;1.2,15,IF(Q12&gt;=1.2,20)))))</f>
        <v>0</v>
      </c>
      <c r="W12" s="15">
        <f>IF(N12&lt;25000000,0,IF(N12&lt;50000000,5,IF(N12&lt;100000000,10,IF(N12&gt;=100000000,15))))</f>
        <v>0</v>
      </c>
      <c r="X12" s="15">
        <f>IF(R12&lt;0.1,0,IF(R12&lt;0.2,5,IF(R12&lt;0.4,10,IF(R12&lt;0.6,15,IF(R12&gt;=0.6,20)))))</f>
        <v>0</v>
      </c>
      <c r="Y12" s="15">
        <f>IF(S12&lt;1,0,IF(S12&lt;2,5,IF(S12&gt;=2,10)))</f>
        <v>0</v>
      </c>
      <c r="Z12" s="15">
        <f>IF(O12&lt;10,0,IF(O12&lt;20,5,IF(O12&gt;=20,10)))</f>
        <v>5</v>
      </c>
      <c r="AA12" s="16">
        <f>SUM(T12:Z12)</f>
        <v>30</v>
      </c>
      <c r="AB12" s="16" t="str">
        <f>IF(AA12&lt;30,"Grey",IF(AA12&lt;50,"Red",IF(AA12&lt;70,"Amber",IF(AA12&gt;=70,"Green"))))</f>
        <v>Red</v>
      </c>
      <c r="AC12" s="2"/>
    </row>
    <row r="13" spans="1:29" ht="33" customHeight="1" thickBot="1" x14ac:dyDescent="0.35">
      <c r="A13" t="s">
        <v>26</v>
      </c>
      <c r="C13" s="1">
        <v>4</v>
      </c>
      <c r="D13" s="1">
        <v>0</v>
      </c>
      <c r="E13" s="1">
        <v>0</v>
      </c>
      <c r="F13" s="1">
        <v>0</v>
      </c>
      <c r="G13" s="1">
        <v>0</v>
      </c>
      <c r="H13" s="1">
        <v>3</v>
      </c>
      <c r="I13" s="1">
        <v>5</v>
      </c>
      <c r="J13" s="1">
        <v>0</v>
      </c>
      <c r="K13" s="1">
        <v>3</v>
      </c>
      <c r="L13" s="1">
        <v>7</v>
      </c>
      <c r="M13" s="1">
        <v>10</v>
      </c>
      <c r="N13" s="1">
        <v>1260000</v>
      </c>
      <c r="O13" s="1">
        <v>16</v>
      </c>
      <c r="P13" s="13">
        <f>H13+I13</f>
        <v>8</v>
      </c>
      <c r="Q13" s="14">
        <f>P13/(C13+D13+E13+F13+G13)</f>
        <v>2</v>
      </c>
      <c r="R13" s="14">
        <f>L13/(C13+D13+E13+F13+G13)</f>
        <v>1.75</v>
      </c>
      <c r="S13" s="14">
        <f>M13/(C13+D13+E13+F13+G13)</f>
        <v>2.5</v>
      </c>
      <c r="T13" s="15">
        <f>IF(D13&gt;2,0,IF(D13=2,5,IF(D13=1,10,IF(D13&lt;1,15))))</f>
        <v>15</v>
      </c>
      <c r="U13" s="15">
        <f>IF(E13&gt;=2,0,IF(E13=1,5,IF(E13=0,10)))</f>
        <v>10</v>
      </c>
      <c r="V13" s="15">
        <f>IF(Q13&lt;0.5,0,IF(Q13&lt;0.75,5,IF(Q13&lt;1,10,IF(Q13&lt;1.2,15,IF(Q13&gt;=1.2,20)))))</f>
        <v>20</v>
      </c>
      <c r="W13" s="15">
        <f>IF(N13&lt;25000000,0,IF(N13&lt;50000000,5,IF(N13&lt;100000000,10,IF(N13&gt;=100000000,15))))</f>
        <v>0</v>
      </c>
      <c r="X13" s="15">
        <f>IF(R13&lt;0.1,0,IF(R13&lt;0.2,5,IF(R13&lt;0.4,10,IF(R13&lt;0.6,15,IF(R13&gt;=0.6,20)))))</f>
        <v>20</v>
      </c>
      <c r="Y13" s="15">
        <f>IF(S13&lt;1,0,IF(S13&lt;2,5,IF(S13&gt;=2,10)))</f>
        <v>10</v>
      </c>
      <c r="Z13" s="15">
        <f>IF(O13&lt;10,0,IF(O13&lt;20,5,IF(O13&gt;=20,10)))</f>
        <v>5</v>
      </c>
      <c r="AA13" s="16">
        <f>SUM(T13:Z13)</f>
        <v>80</v>
      </c>
      <c r="AB13" s="16" t="str">
        <f>IF(AA13&lt;30,"Grey",IF(AA13&lt;50,"Red",IF(AA13&lt;70,"Amber",IF(AA13&gt;=70,"Green"))))</f>
        <v>Green</v>
      </c>
      <c r="AC13" s="2"/>
    </row>
    <row r="14" spans="1:29" ht="17.25" customHeight="1" thickBot="1" x14ac:dyDescent="0.35">
      <c r="A14" t="s">
        <v>31</v>
      </c>
      <c r="C14" s="1">
        <v>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6</v>
      </c>
      <c r="J14" s="1">
        <v>0</v>
      </c>
      <c r="K14" s="1">
        <v>0</v>
      </c>
      <c r="L14" s="1">
        <v>0</v>
      </c>
      <c r="M14" s="1">
        <v>16</v>
      </c>
      <c r="N14" s="1">
        <v>310000</v>
      </c>
      <c r="O14" s="1">
        <v>14</v>
      </c>
      <c r="P14" s="13">
        <f>H14+I14</f>
        <v>6</v>
      </c>
      <c r="Q14" s="14">
        <f>P14/(C14+D14+E14+F14+G14)</f>
        <v>1.5</v>
      </c>
      <c r="R14" s="14">
        <f>L14/(C14+D14+E14+F14+G14)</f>
        <v>0</v>
      </c>
      <c r="S14" s="14">
        <f>M14/(C14+D14+E14+F14+G14)</f>
        <v>4</v>
      </c>
      <c r="T14" s="15">
        <f>IF(D14&gt;2,0,IF(D14=2,5,IF(D14=1,10,IF(D14&lt;1,15))))</f>
        <v>15</v>
      </c>
      <c r="U14" s="15">
        <f>IF(E14&gt;=2,0,IF(E14=1,5,IF(E14=0,10)))</f>
        <v>10</v>
      </c>
      <c r="V14" s="15">
        <f>IF(Q14&lt;0.5,0,IF(Q14&lt;0.75,5,IF(Q14&lt;1,10,IF(Q14&lt;1.2,15,IF(Q14&gt;=1.2,20)))))</f>
        <v>20</v>
      </c>
      <c r="W14" s="15">
        <f>IF(N14&lt;25000000,0,IF(N14&lt;50000000,5,IF(N14&lt;100000000,10,IF(N14&gt;=100000000,15))))</f>
        <v>0</v>
      </c>
      <c r="X14" s="15">
        <f>IF(R14&lt;0.1,0,IF(R14&lt;0.2,5,IF(R14&lt;0.4,10,IF(R14&lt;0.6,15,IF(R14&gt;=0.6,20)))))</f>
        <v>0</v>
      </c>
      <c r="Y14" s="15">
        <f>IF(S14&lt;1,0,IF(S14&lt;2,5,IF(S14&gt;=2,10)))</f>
        <v>10</v>
      </c>
      <c r="Z14" s="15">
        <f>IF(O14&lt;10,0,IF(O14&lt;20,5,IF(O14&gt;=20,10)))</f>
        <v>5</v>
      </c>
      <c r="AA14" s="16">
        <f>SUM(T14:Z14)</f>
        <v>60</v>
      </c>
      <c r="AB14" s="16" t="str">
        <f>IF(AA14&lt;30,"Grey",IF(AA14&lt;50,"Red",IF(AA14&lt;70,"Amber",IF(AA14&gt;=70,"Green"))))</f>
        <v>Amber</v>
      </c>
      <c r="AC14" s="2"/>
    </row>
    <row r="15" spans="1:29" ht="17.25" customHeight="1" thickBot="1" x14ac:dyDescent="0.35">
      <c r="A15" t="s">
        <v>29</v>
      </c>
      <c r="C15" s="1">
        <v>4</v>
      </c>
      <c r="D15" s="1">
        <v>0</v>
      </c>
      <c r="E15" s="1">
        <v>0</v>
      </c>
      <c r="F15" s="1">
        <v>0</v>
      </c>
      <c r="G15" s="1">
        <v>0</v>
      </c>
      <c r="H15" s="1">
        <v>7</v>
      </c>
      <c r="I15" s="1">
        <v>4</v>
      </c>
      <c r="J15" s="1">
        <v>1</v>
      </c>
      <c r="K15" s="1">
        <v>4</v>
      </c>
      <c r="L15" s="1">
        <v>0</v>
      </c>
      <c r="M15" s="1">
        <v>14</v>
      </c>
      <c r="N15" s="1">
        <v>1487800</v>
      </c>
      <c r="O15" s="1">
        <v>7</v>
      </c>
      <c r="P15" s="13">
        <f>H15+I15</f>
        <v>11</v>
      </c>
      <c r="Q15" s="14">
        <f>P15/(C15+D15+E15+F15+G15)</f>
        <v>2.75</v>
      </c>
      <c r="R15" s="14">
        <f>L15/(C15+D15+E15+F15+G15)</f>
        <v>0</v>
      </c>
      <c r="S15" s="14">
        <f>M15/(C15+D15+E15+F15+G15)</f>
        <v>3.5</v>
      </c>
      <c r="T15" s="15">
        <f>IF(D15&gt;2,0,IF(D15=2,5,IF(D15=1,10,IF(D15&lt;1,15))))</f>
        <v>15</v>
      </c>
      <c r="U15" s="15">
        <f>IF(E15&gt;=2,0,IF(E15=1,5,IF(E15=0,10)))</f>
        <v>10</v>
      </c>
      <c r="V15" s="15">
        <f>IF(Q15&lt;0.5,0,IF(Q15&lt;0.75,5,IF(Q15&lt;1,10,IF(Q15&lt;1.2,15,IF(Q15&gt;=1.2,20)))))</f>
        <v>20</v>
      </c>
      <c r="W15" s="15">
        <f>IF(N15&lt;25000000,0,IF(N15&lt;50000000,5,IF(N15&lt;100000000,10,IF(N15&gt;=100000000,15))))</f>
        <v>0</v>
      </c>
      <c r="X15" s="15">
        <f>IF(R15&lt;0.1,0,IF(R15&lt;0.2,5,IF(R15&lt;0.4,10,IF(R15&lt;0.6,15,IF(R15&gt;=0.6,20)))))</f>
        <v>0</v>
      </c>
      <c r="Y15" s="15">
        <f>IF(S15&lt;1,0,IF(S15&lt;2,5,IF(S15&gt;=2,10)))</f>
        <v>10</v>
      </c>
      <c r="Z15" s="15">
        <f>IF(O15&lt;10,0,IF(O15&lt;20,5,IF(O15&gt;=20,10)))</f>
        <v>0</v>
      </c>
      <c r="AA15" s="16">
        <f>SUM(T15:Z15)</f>
        <v>55</v>
      </c>
      <c r="AB15" s="16" t="str">
        <f>IF(AA15&lt;30,"Grey",IF(AA15&lt;50,"Red",IF(AA15&lt;70,"Amber",IF(AA15&gt;=70,"Green"))))</f>
        <v>Amber</v>
      </c>
      <c r="AC15" s="2"/>
    </row>
    <row r="16" spans="1:29" ht="17.25" customHeight="1" thickBot="1" x14ac:dyDescent="0.35">
      <c r="A16" t="s">
        <v>30</v>
      </c>
      <c r="C16" s="2">
        <v>4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4</v>
      </c>
      <c r="J16" s="2">
        <v>1</v>
      </c>
      <c r="K16" s="2">
        <v>9</v>
      </c>
      <c r="L16" s="2">
        <v>0</v>
      </c>
      <c r="M16" s="2">
        <v>15</v>
      </c>
      <c r="N16" s="2">
        <v>1970000</v>
      </c>
      <c r="O16" s="2">
        <v>8</v>
      </c>
      <c r="P16" s="13">
        <f>H16+I16</f>
        <v>5</v>
      </c>
      <c r="Q16" s="14">
        <f>P16/(C16+D16+E16+F16+G16)</f>
        <v>1.25</v>
      </c>
      <c r="R16" s="14">
        <f>L16/(C16+D16+E16+F16+G16)</f>
        <v>0</v>
      </c>
      <c r="S16" s="14">
        <f>M16/(C16+D16+E16+F16+G16)</f>
        <v>3.75</v>
      </c>
      <c r="T16" s="15">
        <f>IF(D16&gt;2,0,IF(D16=2,5,IF(D16=1,10,IF(D16&lt;1,15))))</f>
        <v>15</v>
      </c>
      <c r="U16" s="15">
        <f>IF(E16&gt;=2,0,IF(E16=1,5,IF(E16=0,10)))</f>
        <v>10</v>
      </c>
      <c r="V16" s="15">
        <f>IF(Q16&lt;0.5,0,IF(Q16&lt;0.75,5,IF(Q16&lt;1,10,IF(Q16&lt;1.2,15,IF(Q16&gt;=1.2,20)))))</f>
        <v>20</v>
      </c>
      <c r="W16" s="15">
        <f>IF(N16&lt;25000000,0,IF(N16&lt;50000000,5,IF(N16&lt;100000000,10,IF(N16&gt;=100000000,15))))</f>
        <v>0</v>
      </c>
      <c r="X16" s="15">
        <f>IF(R16&lt;0.1,0,IF(R16&lt;0.2,5,IF(R16&lt;0.4,10,IF(R16&lt;0.6,15,IF(R16&gt;=0.6,20)))))</f>
        <v>0</v>
      </c>
      <c r="Y16" s="15">
        <f>IF(S16&lt;1,0,IF(S16&lt;2,5,IF(S16&gt;=2,10)))</f>
        <v>10</v>
      </c>
      <c r="Z16" s="15">
        <f>IF(O16&lt;10,0,IF(O16&lt;20,5,IF(O16&gt;=20,10)))</f>
        <v>0</v>
      </c>
      <c r="AA16" s="16">
        <f>SUM(T16:Z16)</f>
        <v>55</v>
      </c>
      <c r="AB16" s="16" t="str">
        <f>IF(AA16&lt;30,"Grey",IF(AA16&lt;50,"Red",IF(AA16&lt;70,"Amber",IF(AA16&gt;=70,"Green"))))</f>
        <v>Amber</v>
      </c>
      <c r="AC16" s="1"/>
    </row>
    <row r="17" spans="1:29" ht="33" customHeight="1" thickBot="1" x14ac:dyDescent="0.35">
      <c r="A17" t="s">
        <v>32</v>
      </c>
      <c r="C17" s="3">
        <v>4</v>
      </c>
      <c r="D17" s="3">
        <v>0</v>
      </c>
      <c r="E17" s="3">
        <v>0</v>
      </c>
      <c r="F17" s="3">
        <v>0</v>
      </c>
      <c r="G17" s="3">
        <v>0</v>
      </c>
      <c r="H17" s="3">
        <v>3</v>
      </c>
      <c r="I17" s="3">
        <v>17</v>
      </c>
      <c r="J17" s="3">
        <v>32</v>
      </c>
      <c r="K17" s="3">
        <v>3</v>
      </c>
      <c r="L17" s="3">
        <v>0</v>
      </c>
      <c r="M17" s="3">
        <v>21</v>
      </c>
      <c r="N17" s="3">
        <v>17203200</v>
      </c>
      <c r="O17" s="3">
        <v>20</v>
      </c>
      <c r="P17" s="13">
        <f>H17+I17</f>
        <v>20</v>
      </c>
      <c r="Q17" s="14">
        <f>P17/(C17+D17+E17+F17+G17)</f>
        <v>5</v>
      </c>
      <c r="R17" s="14">
        <f>L17/(C17+D17+E17+F17+G17)</f>
        <v>0</v>
      </c>
      <c r="S17" s="14">
        <f>M17/(C17+D17+E17+F17+G17)</f>
        <v>5.25</v>
      </c>
      <c r="T17" s="15">
        <f>IF(D17&gt;2,0,IF(D17=2,5,IF(D17=1,10,IF(D17&lt;1,15))))</f>
        <v>15</v>
      </c>
      <c r="U17" s="15">
        <f>IF(E17&gt;=2,0,IF(E17=1,5,IF(E17=0,10)))</f>
        <v>10</v>
      </c>
      <c r="V17" s="15">
        <f>IF(Q17&lt;0.5,0,IF(Q17&lt;0.75,5,IF(Q17&lt;1,10,IF(Q17&lt;1.2,15,IF(Q17&gt;=1.2,20)))))</f>
        <v>20</v>
      </c>
      <c r="W17" s="15">
        <f>IF(N17&lt;25000000,0,IF(N17&lt;50000000,5,IF(N17&lt;100000000,10,IF(N17&gt;=100000000,15))))</f>
        <v>0</v>
      </c>
      <c r="X17" s="15">
        <f>IF(R17&lt;0.1,0,IF(R17&lt;0.2,5,IF(R17&lt;0.4,10,IF(R17&lt;0.6,15,IF(R17&gt;=0.6,20)))))</f>
        <v>0</v>
      </c>
      <c r="Y17" s="15">
        <f>IF(S17&lt;1,0,IF(S17&lt;2,5,IF(S17&gt;=2,10)))</f>
        <v>10</v>
      </c>
      <c r="Z17" s="15">
        <f>IF(O17&lt;10,0,IF(O17&lt;20,5,IF(O17&gt;=20,10)))</f>
        <v>10</v>
      </c>
      <c r="AA17" s="16">
        <f>SUM(T17:Z17)</f>
        <v>65</v>
      </c>
      <c r="AB17" s="16" t="str">
        <f>IF(AA17&lt;30,"Grey",IF(AA17&lt;50,"Red",IF(AA17&lt;70,"Amber",IF(AA17&gt;=70,"Green"))))</f>
        <v>Amber</v>
      </c>
      <c r="AC17" s="1"/>
    </row>
    <row r="18" spans="1:29" ht="33" customHeight="1" thickBot="1" x14ac:dyDescent="0.35">
      <c r="A18" t="s">
        <v>18</v>
      </c>
      <c r="C18" s="2">
        <v>3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7</v>
      </c>
      <c r="J18" s="2">
        <v>0</v>
      </c>
      <c r="K18" s="2">
        <v>1</v>
      </c>
      <c r="L18" s="2">
        <v>0</v>
      </c>
      <c r="M18" s="2">
        <v>8</v>
      </c>
      <c r="N18" s="2">
        <v>16265000</v>
      </c>
      <c r="O18" s="2">
        <v>18</v>
      </c>
      <c r="P18" s="13">
        <f>H18+I18</f>
        <v>7</v>
      </c>
      <c r="Q18" s="14">
        <f>P18/(C18+D18+E18+F18+G18)</f>
        <v>1.75</v>
      </c>
      <c r="R18" s="14">
        <f>L18/(C18+D18+E18+F18+G18)</f>
        <v>0</v>
      </c>
      <c r="S18" s="14">
        <f>M18/(C18+D18+E18+F18+G18)</f>
        <v>2</v>
      </c>
      <c r="T18" s="15">
        <f>IF(D18&gt;2,0,IF(D18=2,5,IF(D18=1,10,IF(D18&lt;1,15))))</f>
        <v>10</v>
      </c>
      <c r="U18" s="15">
        <f>IF(E18&gt;=2,0,IF(E18=1,5,IF(E18=0,10)))</f>
        <v>10</v>
      </c>
      <c r="V18" s="15">
        <f>IF(Q18&lt;0.5,0,IF(Q18&lt;0.75,5,IF(Q18&lt;1,10,IF(Q18&lt;1.2,15,IF(Q18&gt;=1.2,20)))))</f>
        <v>20</v>
      </c>
      <c r="W18" s="15">
        <f>IF(N18&lt;25000000,0,IF(N18&lt;50000000,5,IF(N18&lt;100000000,10,IF(N18&gt;=100000000,15))))</f>
        <v>0</v>
      </c>
      <c r="X18" s="15">
        <f>IF(R18&lt;0.1,0,IF(R18&lt;0.2,5,IF(R18&lt;0.4,10,IF(R18&lt;0.6,15,IF(R18&gt;=0.6,20)))))</f>
        <v>0</v>
      </c>
      <c r="Y18" s="15">
        <f>IF(S18&lt;1,0,IF(S18&lt;2,5,IF(S18&gt;=2,10)))</f>
        <v>10</v>
      </c>
      <c r="Z18" s="15">
        <f>IF(O18&lt;10,0,IF(O18&lt;20,5,IF(O18&gt;=20,10)))</f>
        <v>5</v>
      </c>
      <c r="AA18" s="16">
        <f>SUM(T18:Z18)</f>
        <v>55</v>
      </c>
      <c r="AB18" s="16" t="str">
        <f>IF(AA18&lt;30,"Grey",IF(AA18&lt;50,"Red",IF(AA18&lt;70,"Amber",IF(AA18&gt;=70,"Green"))))</f>
        <v>Amber</v>
      </c>
      <c r="AC18" s="2"/>
    </row>
    <row r="19" spans="1:29" ht="17.25" customHeight="1" thickBot="1" x14ac:dyDescent="0.35">
      <c r="A19" t="s">
        <v>22</v>
      </c>
      <c r="C19" s="2">
        <v>4</v>
      </c>
      <c r="D19" s="2">
        <v>0</v>
      </c>
      <c r="E19" s="2">
        <v>0</v>
      </c>
      <c r="F19" s="2">
        <v>0</v>
      </c>
      <c r="G19" s="2">
        <v>0</v>
      </c>
      <c r="H19" s="2">
        <v>2</v>
      </c>
      <c r="I19" s="2">
        <v>11</v>
      </c>
      <c r="J19" s="2">
        <v>1</v>
      </c>
      <c r="K19" s="2">
        <v>1</v>
      </c>
      <c r="L19" s="2">
        <v>0</v>
      </c>
      <c r="M19" s="2">
        <v>12</v>
      </c>
      <c r="N19" s="2">
        <v>500000</v>
      </c>
      <c r="O19" s="2">
        <v>5</v>
      </c>
      <c r="P19" s="13">
        <f>H19+I19</f>
        <v>13</v>
      </c>
      <c r="Q19" s="14">
        <f>P19/(C19+D19+E19+F19+G19)</f>
        <v>3.25</v>
      </c>
      <c r="R19" s="14">
        <f>L19/(C19+D19+E19+F19+G19)</f>
        <v>0</v>
      </c>
      <c r="S19" s="14">
        <f>M19/(C19+D19+E19+F19+G19)</f>
        <v>3</v>
      </c>
      <c r="T19" s="15">
        <f>IF(D19&gt;2,0,IF(D19=2,5,IF(D19=1,10,IF(D19&lt;1,15))))</f>
        <v>15</v>
      </c>
      <c r="U19" s="15">
        <f>IF(E19&gt;=2,0,IF(E19=1,5,IF(E19=0,10)))</f>
        <v>10</v>
      </c>
      <c r="V19" s="15">
        <f>IF(Q19&lt;0.5,0,IF(Q19&lt;0.75,5,IF(Q19&lt;1,10,IF(Q19&lt;1.2,15,IF(Q19&gt;=1.2,20)))))</f>
        <v>20</v>
      </c>
      <c r="W19" s="15">
        <f>IF(N19&lt;25000000,0,IF(N19&lt;50000000,5,IF(N19&lt;100000000,10,IF(N19&gt;=100000000,15))))</f>
        <v>0</v>
      </c>
      <c r="X19" s="15">
        <f>IF(R19&lt;0.1,0,IF(R19&lt;0.2,5,IF(R19&lt;0.4,10,IF(R19&lt;0.6,15,IF(R19&gt;=0.6,20)))))</f>
        <v>0</v>
      </c>
      <c r="Y19" s="15">
        <f>IF(S19&lt;1,0,IF(S19&lt;2,5,IF(S19&gt;=2,10)))</f>
        <v>10</v>
      </c>
      <c r="Z19" s="15">
        <f>IF(O19&lt;10,0,IF(O19&lt;20,5,IF(O19&gt;=20,10)))</f>
        <v>0</v>
      </c>
      <c r="AA19" s="16">
        <f>SUM(T19:Z19)</f>
        <v>55</v>
      </c>
      <c r="AB19" s="16" t="str">
        <f>IF(AA19&lt;30,"Grey",IF(AA19&lt;50,"Red",IF(AA19&lt;70,"Amber",IF(AA19&gt;=70,"Green"))))</f>
        <v>Amber</v>
      </c>
      <c r="AC19" s="2"/>
    </row>
    <row r="20" spans="1:29" ht="17.25" customHeight="1" thickBot="1" x14ac:dyDescent="0.35">
      <c r="A20" t="s">
        <v>19</v>
      </c>
      <c r="C20" s="1">
        <v>4</v>
      </c>
      <c r="D20" s="1">
        <v>0</v>
      </c>
      <c r="E20" s="1">
        <v>0</v>
      </c>
      <c r="F20" s="1">
        <v>0</v>
      </c>
      <c r="G20" s="1">
        <v>0</v>
      </c>
      <c r="H20" s="1">
        <v>6</v>
      </c>
      <c r="I20" s="1">
        <v>4</v>
      </c>
      <c r="J20" s="1">
        <v>1</v>
      </c>
      <c r="K20" s="1">
        <v>1</v>
      </c>
      <c r="L20" s="1">
        <v>0</v>
      </c>
      <c r="M20" s="1">
        <v>15</v>
      </c>
      <c r="N20" s="1">
        <v>3798000</v>
      </c>
      <c r="O20" s="1">
        <v>19</v>
      </c>
      <c r="P20" s="13">
        <f>H20+I20</f>
        <v>10</v>
      </c>
      <c r="Q20" s="14">
        <f>P20/(C20+D20+E20+F20+G20)</f>
        <v>2.5</v>
      </c>
      <c r="R20" s="14">
        <f>L20/(C20+D20+E20+F20+G20)</f>
        <v>0</v>
      </c>
      <c r="S20" s="14">
        <f>M20/(C20+D20+E20+F20+G20)</f>
        <v>3.75</v>
      </c>
      <c r="T20" s="15">
        <f>IF(D20&gt;2,0,IF(D20=2,5,IF(D20=1,10,IF(D20&lt;1,15))))</f>
        <v>15</v>
      </c>
      <c r="U20" s="15">
        <f>IF(E20&gt;=2,0,IF(E20=1,5,IF(E20=0,10)))</f>
        <v>10</v>
      </c>
      <c r="V20" s="15">
        <f>IF(Q20&lt;0.5,0,IF(Q20&lt;0.75,5,IF(Q20&lt;1,10,IF(Q20&lt;1.2,15,IF(Q20&gt;=1.2,20)))))</f>
        <v>20</v>
      </c>
      <c r="W20" s="15">
        <f>IF(N20&lt;25000000,0,IF(N20&lt;50000000,5,IF(N20&lt;100000000,10,IF(N20&gt;=100000000,15))))</f>
        <v>0</v>
      </c>
      <c r="X20" s="15">
        <f>IF(R20&lt;0.1,0,IF(R20&lt;0.2,5,IF(R20&lt;0.4,10,IF(R20&lt;0.6,15,IF(R20&gt;=0.6,20)))))</f>
        <v>0</v>
      </c>
      <c r="Y20" s="15">
        <f>IF(S20&lt;1,0,IF(S20&lt;2,5,IF(S20&gt;=2,10)))</f>
        <v>10</v>
      </c>
      <c r="Z20" s="15">
        <f>IF(O20&lt;10,0,IF(O20&lt;20,5,IF(O20&gt;=20,10)))</f>
        <v>5</v>
      </c>
      <c r="AA20" s="16">
        <f>SUM(T20:Z20)</f>
        <v>60</v>
      </c>
      <c r="AB20" s="16" t="str">
        <f>IF(AA20&lt;30,"Grey",IF(AA20&lt;50,"Red",IF(AA20&lt;70,"Amber",IF(AA20&gt;=70,"Green"))))</f>
        <v>Amber</v>
      </c>
      <c r="AC20" s="1"/>
    </row>
    <row r="21" spans="1:29" ht="17.25" customHeight="1" thickBot="1" x14ac:dyDescent="0.35">
      <c r="A21" t="s">
        <v>20</v>
      </c>
      <c r="C21" s="2">
        <v>4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7</v>
      </c>
      <c r="N21" s="2">
        <v>60000</v>
      </c>
      <c r="O21" s="2">
        <v>21</v>
      </c>
      <c r="P21" s="13">
        <f>H21+I21</f>
        <v>1</v>
      </c>
      <c r="Q21" s="14">
        <f>P21/(C21+D21+E21+F21+G21)</f>
        <v>0.25</v>
      </c>
      <c r="R21" s="14">
        <f>L21/(C21+D21+E21+F21+G21)</f>
        <v>0</v>
      </c>
      <c r="S21" s="14">
        <f>M21/(C21+D21+E21+F21+G21)</f>
        <v>1.75</v>
      </c>
      <c r="T21" s="15">
        <f>IF(D21&gt;2,0,IF(D21=2,5,IF(D21=1,10,IF(D21&lt;1,15))))</f>
        <v>15</v>
      </c>
      <c r="U21" s="15">
        <f>IF(E21&gt;=2,0,IF(E21=1,5,IF(E21=0,10)))</f>
        <v>10</v>
      </c>
      <c r="V21" s="15">
        <f>IF(Q21&lt;0.5,0,IF(Q21&lt;0.75,5,IF(Q21&lt;1,10,IF(Q21&lt;1.2,15,IF(Q21&gt;=1.2,20)))))</f>
        <v>0</v>
      </c>
      <c r="W21" s="15">
        <f>IF(N21&lt;25000000,0,IF(N21&lt;50000000,5,IF(N21&lt;100000000,10,IF(N21&gt;=100000000,15))))</f>
        <v>0</v>
      </c>
      <c r="X21" s="15">
        <f>IF(R21&lt;0.1,0,IF(R21&lt;0.2,5,IF(R21&lt;0.4,10,IF(R21&lt;0.6,15,IF(R21&gt;=0.6,20)))))</f>
        <v>0</v>
      </c>
      <c r="Y21" s="15">
        <f>IF(S21&lt;1,0,IF(S21&lt;2,5,IF(S21&gt;=2,10)))</f>
        <v>5</v>
      </c>
      <c r="Z21" s="15">
        <f>IF(O21&lt;10,0,IF(O21&lt;20,5,IF(O21&gt;=20,10)))</f>
        <v>10</v>
      </c>
      <c r="AA21" s="16">
        <f>SUM(T21:Z21)</f>
        <v>40</v>
      </c>
      <c r="AB21" s="16" t="str">
        <f>IF(AA21&lt;30,"Grey",IF(AA21&lt;50,"Red",IF(AA21&lt;70,"Amber",IF(AA21&gt;=70,"Green"))))</f>
        <v>Red</v>
      </c>
      <c r="AC21" s="2"/>
    </row>
    <row r="22" spans="1:29" ht="33" customHeight="1" thickBot="1" x14ac:dyDescent="0.35">
      <c r="A22" t="s">
        <v>21</v>
      </c>
      <c r="C22" s="1">
        <v>4</v>
      </c>
      <c r="D22" s="1">
        <v>0</v>
      </c>
      <c r="E22" s="1">
        <v>0</v>
      </c>
      <c r="F22" s="1">
        <v>0</v>
      </c>
      <c r="G22" s="1">
        <v>0</v>
      </c>
      <c r="H22" s="1">
        <v>2</v>
      </c>
      <c r="I22" s="1">
        <v>10</v>
      </c>
      <c r="J22" s="1">
        <v>1</v>
      </c>
      <c r="K22" s="1">
        <v>0</v>
      </c>
      <c r="L22" s="1">
        <v>0</v>
      </c>
      <c r="M22" s="1">
        <v>27</v>
      </c>
      <c r="N22" s="1">
        <v>2317100</v>
      </c>
      <c r="O22" s="1">
        <v>6</v>
      </c>
      <c r="P22" s="13">
        <f>H22+I22</f>
        <v>12</v>
      </c>
      <c r="Q22" s="14">
        <f>P22/(C22+D22+E22+F22+G22)</f>
        <v>3</v>
      </c>
      <c r="R22" s="14">
        <f>L22/(C22+D22+E22+F22+G22)</f>
        <v>0</v>
      </c>
      <c r="S22" s="14">
        <f>M22/(C22+D22+E22+F22+G22)</f>
        <v>6.75</v>
      </c>
      <c r="T22" s="15">
        <f>IF(D22&gt;2,0,IF(D22=2,5,IF(D22=1,10,IF(D22&lt;1,15))))</f>
        <v>15</v>
      </c>
      <c r="U22" s="15">
        <f>IF(E22&gt;=2,0,IF(E22=1,5,IF(E22=0,10)))</f>
        <v>10</v>
      </c>
      <c r="V22" s="15">
        <f>IF(Q22&lt;0.5,0,IF(Q22&lt;0.75,5,IF(Q22&lt;1,10,IF(Q22&lt;1.2,15,IF(Q22&gt;=1.2,20)))))</f>
        <v>20</v>
      </c>
      <c r="W22" s="15">
        <f>IF(N22&lt;25000000,0,IF(N22&lt;50000000,5,IF(N22&lt;100000000,10,IF(N22&gt;=100000000,15))))</f>
        <v>0</v>
      </c>
      <c r="X22" s="15">
        <f>IF(R22&lt;0.1,0,IF(R22&lt;0.2,5,IF(R22&lt;0.4,10,IF(R22&lt;0.6,15,IF(R22&gt;=0.6,20)))))</f>
        <v>0</v>
      </c>
      <c r="Y22" s="15">
        <f>IF(S22&lt;1,0,IF(S22&lt;2,5,IF(S22&gt;=2,10)))</f>
        <v>10</v>
      </c>
      <c r="Z22" s="15">
        <f>IF(O22&lt;10,0,IF(O22&lt;20,5,IF(O22&gt;=20,10)))</f>
        <v>0</v>
      </c>
      <c r="AA22" s="16">
        <f>SUM(T22:Z22)</f>
        <v>55</v>
      </c>
      <c r="AB22" s="16" t="str">
        <f>IF(AA22&lt;30,"Grey",IF(AA22&lt;50,"Red",IF(AA22&lt;70,"Amber",IF(AA22&gt;=70,"Green"))))</f>
        <v>Amber</v>
      </c>
      <c r="AC22" s="1"/>
    </row>
    <row r="23" spans="1:29" ht="33" customHeight="1" thickBot="1" x14ac:dyDescent="0.35">
      <c r="A23" t="s">
        <v>24</v>
      </c>
      <c r="C23" s="2">
        <v>4</v>
      </c>
      <c r="D23" s="2">
        <v>0</v>
      </c>
      <c r="E23" s="2">
        <v>0</v>
      </c>
      <c r="F23" s="2">
        <v>0</v>
      </c>
      <c r="G23" s="2">
        <v>0</v>
      </c>
      <c r="H23" s="2">
        <v>5</v>
      </c>
      <c r="I23" s="2">
        <v>1</v>
      </c>
      <c r="J23" s="2">
        <v>2</v>
      </c>
      <c r="K23" s="2">
        <v>4</v>
      </c>
      <c r="L23" s="2">
        <v>0</v>
      </c>
      <c r="M23" s="2">
        <v>9</v>
      </c>
      <c r="N23" s="2">
        <v>1700000</v>
      </c>
      <c r="O23" s="2">
        <v>9</v>
      </c>
      <c r="P23" s="13">
        <f>H23+I23</f>
        <v>6</v>
      </c>
      <c r="Q23" s="14">
        <f>P23/(C23+D23+E23+F23+G23)</f>
        <v>1.5</v>
      </c>
      <c r="R23" s="14">
        <f>L23/(C23+D23+E23+F23+G23)</f>
        <v>0</v>
      </c>
      <c r="S23" s="14">
        <f>M23/(C23+D23+E23+F23+G23)</f>
        <v>2.25</v>
      </c>
      <c r="T23" s="15">
        <f>IF(D23&gt;2,0,IF(D23=2,5,IF(D23=1,10,IF(D23&lt;1,15))))</f>
        <v>15</v>
      </c>
      <c r="U23" s="15">
        <f>IF(E23&gt;=2,0,IF(E23=1,5,IF(E23=0,10)))</f>
        <v>10</v>
      </c>
      <c r="V23" s="15">
        <f>IF(Q23&lt;0.5,0,IF(Q23&lt;0.75,5,IF(Q23&lt;1,10,IF(Q23&lt;1.2,15,IF(Q23&gt;=1.2,20)))))</f>
        <v>20</v>
      </c>
      <c r="W23" s="15">
        <f>IF(N23&lt;25000000,0,IF(N23&lt;50000000,5,IF(N23&lt;100000000,10,IF(N23&gt;=100000000,15))))</f>
        <v>0</v>
      </c>
      <c r="X23" s="15">
        <f>IF(R23&lt;0.1,0,IF(R23&lt;0.2,5,IF(R23&lt;0.4,10,IF(R23&lt;0.6,15,IF(R23&gt;=0.6,20)))))</f>
        <v>0</v>
      </c>
      <c r="Y23" s="15">
        <f>IF(S23&lt;1,0,IF(S23&lt;2,5,IF(S23&gt;=2,10)))</f>
        <v>10</v>
      </c>
      <c r="Z23" s="15">
        <f>IF(O23&lt;10,0,IF(O23&lt;20,5,IF(O23&gt;=20,10)))</f>
        <v>0</v>
      </c>
      <c r="AA23" s="16">
        <f>SUM(T23:Z23)</f>
        <v>55</v>
      </c>
      <c r="AB23" s="16" t="str">
        <f>IF(AA23&lt;30,"Grey",IF(AA23&lt;50,"Red",IF(AA23&lt;70,"Amber",IF(AA23&gt;=70,"Green"))))</f>
        <v>Amber</v>
      </c>
      <c r="AC23" s="2"/>
    </row>
    <row r="24" spans="1:29" ht="17.25" customHeight="1" thickBot="1" x14ac:dyDescent="0.35">
      <c r="A24" t="s">
        <v>23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2</v>
      </c>
      <c r="I24" s="1">
        <v>1</v>
      </c>
      <c r="J24" s="1">
        <v>10</v>
      </c>
      <c r="K24" s="1">
        <v>4</v>
      </c>
      <c r="L24" s="1">
        <v>0</v>
      </c>
      <c r="M24" s="1">
        <v>6</v>
      </c>
      <c r="N24" s="1">
        <v>1210000</v>
      </c>
      <c r="O24" s="1">
        <v>4</v>
      </c>
      <c r="P24" s="13">
        <f>H24+I24</f>
        <v>3</v>
      </c>
      <c r="Q24" s="14">
        <f>P24/(C24+D24+E24+F24+G24)</f>
        <v>0.75</v>
      </c>
      <c r="R24" s="14">
        <f>L24/(C24+D24+E24+F24+G24)</f>
        <v>0</v>
      </c>
      <c r="S24" s="14">
        <f>M24/(C24+D24+E24+F24+G24)</f>
        <v>1.5</v>
      </c>
      <c r="T24" s="15">
        <f>IF(D24&gt;2,0,IF(D24=2,5,IF(D24=1,10,IF(D24&lt;1,15))))</f>
        <v>15</v>
      </c>
      <c r="U24" s="15">
        <f>IF(E24&gt;=2,0,IF(E24=1,5,IF(E24=0,10)))</f>
        <v>10</v>
      </c>
      <c r="V24" s="15">
        <f>IF(Q24&lt;0.5,0,IF(Q24&lt;0.75,5,IF(Q24&lt;1,10,IF(Q24&lt;1.2,15,IF(Q24&gt;=1.2,20)))))</f>
        <v>10</v>
      </c>
      <c r="W24" s="15">
        <f>IF(N24&lt;25000000,0,IF(N24&lt;50000000,5,IF(N24&lt;100000000,10,IF(N24&gt;=100000000,15))))</f>
        <v>0</v>
      </c>
      <c r="X24" s="15">
        <f>IF(R24&lt;0.1,0,IF(R24&lt;0.2,5,IF(R24&lt;0.4,10,IF(R24&lt;0.6,15,IF(R24&gt;=0.6,20)))))</f>
        <v>0</v>
      </c>
      <c r="Y24" s="15">
        <f>IF(S24&lt;1,0,IF(S24&lt;2,5,IF(S24&gt;=2,10)))</f>
        <v>5</v>
      </c>
      <c r="Z24" s="15">
        <f>IF(O24&lt;10,0,IF(O24&lt;20,5,IF(O24&gt;=20,10)))</f>
        <v>0</v>
      </c>
      <c r="AA24" s="16">
        <f>SUM(T24:Z24)</f>
        <v>40</v>
      </c>
      <c r="AB24" s="16" t="str">
        <f>IF(AA24&lt;30,"Grey",IF(AA24&lt;50,"Red",IF(AA24&lt;70,"Amber",IF(AA24&gt;=70,"Green"))))</f>
        <v>Red</v>
      </c>
      <c r="AC24" s="1"/>
    </row>
    <row r="25" spans="1:29" ht="17.25" customHeight="1" thickBot="1" x14ac:dyDescent="0.35">
      <c r="A25" t="s">
        <v>7</v>
      </c>
      <c r="C25" s="1">
        <v>3</v>
      </c>
      <c r="D25" s="1">
        <v>0</v>
      </c>
      <c r="E25" s="1">
        <v>0</v>
      </c>
      <c r="F25" s="1">
        <v>1</v>
      </c>
      <c r="G25" s="1">
        <v>0</v>
      </c>
      <c r="H25" s="1">
        <v>1</v>
      </c>
      <c r="I25" s="1">
        <v>2</v>
      </c>
      <c r="J25" s="1">
        <v>0</v>
      </c>
      <c r="K25" s="1">
        <v>3</v>
      </c>
      <c r="L25" s="1">
        <v>0</v>
      </c>
      <c r="M25" s="1">
        <v>12</v>
      </c>
      <c r="N25" s="1">
        <v>13705000</v>
      </c>
      <c r="O25" s="1">
        <v>4</v>
      </c>
      <c r="P25" s="13">
        <f>H25+I25</f>
        <v>3</v>
      </c>
      <c r="Q25" s="14">
        <f>P25/(C25+D25+E25+F25+G25)</f>
        <v>0.75</v>
      </c>
      <c r="R25" s="14">
        <f>L25/(C25+D25+E25+F25+G25)</f>
        <v>0</v>
      </c>
      <c r="S25" s="14">
        <f>M25/(C25+D25+E25+F25+G25)</f>
        <v>3</v>
      </c>
      <c r="T25" s="15">
        <f>IF(D25&gt;2,0,IF(D25=2,5,IF(D25=1,10,IF(D25&lt;1,15))))</f>
        <v>15</v>
      </c>
      <c r="U25" s="15">
        <f>IF(E25&gt;=2,0,IF(E25=1,5,IF(E25=0,10)))</f>
        <v>10</v>
      </c>
      <c r="V25" s="15">
        <f>IF(Q25&lt;0.5,0,IF(Q25&lt;0.75,5,IF(Q25&lt;1,10,IF(Q25&lt;1.2,15,IF(Q25&gt;=1.2,20)))))</f>
        <v>10</v>
      </c>
      <c r="W25" s="15">
        <f>IF(N25&lt;25000000,0,IF(N25&lt;50000000,5,IF(N25&lt;100000000,10,IF(N25&gt;=100000000,15))))</f>
        <v>0</v>
      </c>
      <c r="X25" s="15">
        <f>IF(R25&lt;0.1,0,IF(R25&lt;0.2,5,IF(R25&lt;0.4,10,IF(R25&lt;0.6,15,IF(R25&gt;=0.6,20)))))</f>
        <v>0</v>
      </c>
      <c r="Y25" s="15">
        <f>IF(S25&lt;1,0,IF(S25&lt;2,5,IF(S25&gt;=2,10)))</f>
        <v>10</v>
      </c>
      <c r="Z25" s="15">
        <f>IF(O25&lt;10,0,IF(O25&lt;20,5,IF(O25&gt;=20,10)))</f>
        <v>0</v>
      </c>
      <c r="AA25" s="16">
        <f>SUM(T25:Z25)</f>
        <v>45</v>
      </c>
      <c r="AB25" s="16" t="str">
        <f>IF(AA25&lt;30,"Grey",IF(AA25&lt;50,"Red",IF(AA25&lt;70,"Amber",IF(AA25&gt;=70,"Green"))))</f>
        <v>Red</v>
      </c>
      <c r="AC25" s="1"/>
    </row>
    <row r="26" spans="1:29" ht="17.25" customHeight="1" thickBot="1" x14ac:dyDescent="0.35">
      <c r="A26" t="s">
        <v>8</v>
      </c>
      <c r="C26" s="2">
        <v>3</v>
      </c>
      <c r="D26" s="2">
        <v>1</v>
      </c>
      <c r="E26" s="2">
        <v>0</v>
      </c>
      <c r="F26" s="2">
        <v>0</v>
      </c>
      <c r="G26" s="2">
        <v>0</v>
      </c>
      <c r="H26" s="2">
        <v>5</v>
      </c>
      <c r="I26" s="2">
        <v>1</v>
      </c>
      <c r="J26" s="2">
        <v>0</v>
      </c>
      <c r="K26" s="2">
        <v>11</v>
      </c>
      <c r="L26" s="2">
        <v>0</v>
      </c>
      <c r="M26" s="2">
        <v>9</v>
      </c>
      <c r="N26" s="2">
        <v>360000</v>
      </c>
      <c r="O26" s="2">
        <v>10</v>
      </c>
      <c r="P26" s="13">
        <f>H26+I26</f>
        <v>6</v>
      </c>
      <c r="Q26" s="14">
        <f>P26/(C26+D26+E26+F26+G26)</f>
        <v>1.5</v>
      </c>
      <c r="R26" s="14">
        <f>L26/(C26+D26+E26+F26+G26)</f>
        <v>0</v>
      </c>
      <c r="S26" s="14">
        <f>M26/(C26+D26+E26+F26+G26)</f>
        <v>2.25</v>
      </c>
      <c r="T26" s="15">
        <f>IF(D26&gt;2,0,IF(D26=2,5,IF(D26=1,10,IF(D26&lt;1,15))))</f>
        <v>10</v>
      </c>
      <c r="U26" s="15">
        <f>IF(E26&gt;=2,0,IF(E26=1,5,IF(E26=0,10)))</f>
        <v>10</v>
      </c>
      <c r="V26" s="15">
        <f>IF(Q26&lt;0.5,0,IF(Q26&lt;0.75,5,IF(Q26&lt;1,10,IF(Q26&lt;1.2,15,IF(Q26&gt;=1.2,20)))))</f>
        <v>20</v>
      </c>
      <c r="W26" s="15">
        <f>IF(N26&lt;25000000,0,IF(N26&lt;50000000,5,IF(N26&lt;100000000,10,IF(N26&gt;=100000000,15))))</f>
        <v>0</v>
      </c>
      <c r="X26" s="15">
        <f>IF(R26&lt;0.1,0,IF(R26&lt;0.2,5,IF(R26&lt;0.4,10,IF(R26&lt;0.6,15,IF(R26&gt;=0.6,20)))))</f>
        <v>0</v>
      </c>
      <c r="Y26" s="15">
        <f>IF(S26&lt;1,0,IF(S26&lt;2,5,IF(S26&gt;=2,10)))</f>
        <v>10</v>
      </c>
      <c r="Z26" s="15">
        <f>IF(O26&lt;10,0,IF(O26&lt;20,5,IF(O26&gt;=20,10)))</f>
        <v>5</v>
      </c>
      <c r="AA26" s="16">
        <f>SUM(T26:Z26)</f>
        <v>55</v>
      </c>
      <c r="AB26" s="16" t="str">
        <f>IF(AA26&lt;30,"Grey",IF(AA26&lt;50,"Red",IF(AA26&lt;70,"Amber",IF(AA26&gt;=70,"Green"))))</f>
        <v>Amber</v>
      </c>
      <c r="AC26" s="1"/>
    </row>
    <row r="27" spans="1:29" ht="17.25" customHeight="1" thickBot="1" x14ac:dyDescent="0.35">
      <c r="A27" t="s">
        <v>6</v>
      </c>
      <c r="C27" s="2">
        <v>4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10</v>
      </c>
      <c r="J27" s="2">
        <v>0</v>
      </c>
      <c r="K27" s="2">
        <v>14</v>
      </c>
      <c r="L27" s="2">
        <v>0</v>
      </c>
      <c r="M27" s="2">
        <v>24</v>
      </c>
      <c r="N27" s="2">
        <v>7590000</v>
      </c>
      <c r="O27" s="2">
        <v>2</v>
      </c>
      <c r="P27" s="13">
        <f>H27+I27</f>
        <v>11</v>
      </c>
      <c r="Q27" s="14">
        <f>P27/(C27+D27+E27+F27+G27)</f>
        <v>2.75</v>
      </c>
      <c r="R27" s="14">
        <f>L27/(C27+D27+E27+F27+G27)</f>
        <v>0</v>
      </c>
      <c r="S27" s="14">
        <f>M27/(C27+D27+E27+F27+G27)</f>
        <v>6</v>
      </c>
      <c r="T27" s="15">
        <f>IF(D27&gt;2,0,IF(D27=2,5,IF(D27=1,10,IF(D27&lt;1,15))))</f>
        <v>15</v>
      </c>
      <c r="U27" s="15">
        <f>IF(E27&gt;=2,0,IF(E27=1,5,IF(E27=0,10)))</f>
        <v>10</v>
      </c>
      <c r="V27" s="15">
        <f>IF(Q27&lt;0.5,0,IF(Q27&lt;0.75,5,IF(Q27&lt;1,10,IF(Q27&lt;1.2,15,IF(Q27&gt;=1.2,20)))))</f>
        <v>20</v>
      </c>
      <c r="W27" s="15">
        <f>IF(N27&lt;25000000,0,IF(N27&lt;50000000,5,IF(N27&lt;100000000,10,IF(N27&gt;=100000000,15))))</f>
        <v>0</v>
      </c>
      <c r="X27" s="15">
        <f>IF(R27&lt;0.1,0,IF(R27&lt;0.2,5,IF(R27&lt;0.4,10,IF(R27&lt;0.6,15,IF(R27&gt;=0.6,20)))))</f>
        <v>0</v>
      </c>
      <c r="Y27" s="15">
        <f>IF(S27&lt;1,0,IF(S27&lt;2,5,IF(S27&gt;=2,10)))</f>
        <v>10</v>
      </c>
      <c r="Z27" s="15">
        <f>IF(O27&lt;10,0,IF(O27&lt;20,5,IF(O27&gt;=20,10)))</f>
        <v>0</v>
      </c>
      <c r="AA27" s="16">
        <f>SUM(T27:Z27)</f>
        <v>55</v>
      </c>
      <c r="AB27" s="16" t="str">
        <f>IF(AA27&lt;30,"Grey",IF(AA27&lt;50,"Red",IF(AA27&lt;70,"Amber",IF(AA27&gt;=70,"Green"))))</f>
        <v>Amber</v>
      </c>
      <c r="AC27" s="1"/>
    </row>
    <row r="28" spans="1:29" ht="17.25" customHeight="1" thickBot="1" x14ac:dyDescent="0.35">
      <c r="A28" t="s">
        <v>1</v>
      </c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13</v>
      </c>
      <c r="J28" s="1">
        <v>2</v>
      </c>
      <c r="K28" s="1">
        <v>9</v>
      </c>
      <c r="L28" s="1">
        <v>0</v>
      </c>
      <c r="M28" s="1">
        <v>8</v>
      </c>
      <c r="N28" s="1">
        <v>36360000</v>
      </c>
      <c r="O28" s="1">
        <v>11</v>
      </c>
      <c r="P28" s="13">
        <f>H28+I28</f>
        <v>15</v>
      </c>
      <c r="Q28" s="14">
        <f>P28/(C28+D28+E28+F28+G28)</f>
        <v>3.75</v>
      </c>
      <c r="R28" s="14">
        <f>L28/(C28+D28+E28+F28+G28)</f>
        <v>0</v>
      </c>
      <c r="S28" s="14">
        <f>M28/(C28+D28+E28+F28+G28)</f>
        <v>2</v>
      </c>
      <c r="T28" s="15">
        <f>IF(D28&gt;2,0,IF(D28=2,5,IF(D28=1,10,IF(D28&lt;1,15))))</f>
        <v>15</v>
      </c>
      <c r="U28" s="15">
        <f>IF(E28&gt;=2,0,IF(E28=1,5,IF(E28=0,10)))</f>
        <v>10</v>
      </c>
      <c r="V28" s="15">
        <f>IF(Q28&lt;0.5,0,IF(Q28&lt;0.75,5,IF(Q28&lt;1,10,IF(Q28&lt;1.2,15,IF(Q28&gt;=1.2,20)))))</f>
        <v>20</v>
      </c>
      <c r="W28" s="15">
        <f>IF(N28&lt;25000000,0,IF(N28&lt;50000000,5,IF(N28&lt;100000000,10,IF(N28&gt;=100000000,15))))</f>
        <v>5</v>
      </c>
      <c r="X28" s="15">
        <f>IF(R28&lt;0.1,0,IF(R28&lt;0.2,5,IF(R28&lt;0.4,10,IF(R28&lt;0.6,15,IF(R28&gt;=0.6,20)))))</f>
        <v>0</v>
      </c>
      <c r="Y28" s="15">
        <f>IF(S28&lt;1,0,IF(S28&lt;2,5,IF(S28&gt;=2,10)))</f>
        <v>10</v>
      </c>
      <c r="Z28" s="15">
        <f>IF(O28&lt;10,0,IF(O28&lt;20,5,IF(O28&gt;=20,10)))</f>
        <v>5</v>
      </c>
      <c r="AA28" s="16">
        <f>SUM(T28:Z28)</f>
        <v>65</v>
      </c>
      <c r="AB28" s="16" t="str">
        <f>IF(AA28&lt;30,"Grey",IF(AA28&lt;50,"Red",IF(AA28&lt;70,"Amber",IF(AA28&gt;=70,"Green"))))</f>
        <v>Amber</v>
      </c>
      <c r="AC28" s="1"/>
    </row>
    <row r="29" spans="1:29" ht="33" customHeight="1" thickBot="1" x14ac:dyDescent="0.35">
      <c r="A29" t="s">
        <v>2</v>
      </c>
      <c r="C29" s="2">
        <v>4</v>
      </c>
      <c r="D29" s="2">
        <v>0</v>
      </c>
      <c r="E29" s="2">
        <v>0</v>
      </c>
      <c r="F29" s="2">
        <v>0</v>
      </c>
      <c r="G29" s="2">
        <v>0</v>
      </c>
      <c r="H29" s="2">
        <v>3</v>
      </c>
      <c r="I29" s="2">
        <v>3</v>
      </c>
      <c r="J29" s="2">
        <v>0</v>
      </c>
      <c r="K29" s="2">
        <v>4</v>
      </c>
      <c r="L29" s="2">
        <v>0</v>
      </c>
      <c r="M29" s="2">
        <v>10</v>
      </c>
      <c r="N29" s="2">
        <v>241300</v>
      </c>
      <c r="O29" s="2">
        <v>3</v>
      </c>
      <c r="P29" s="13">
        <f>H29+I29</f>
        <v>6</v>
      </c>
      <c r="Q29" s="14">
        <f>P29/(C29+D29+E29+F29+G29)</f>
        <v>1.5</v>
      </c>
      <c r="R29" s="14">
        <f>L29/(C29+D29+E29+F29+G29)</f>
        <v>0</v>
      </c>
      <c r="S29" s="14">
        <f>M29/(C29+D29+E29+F29+G29)</f>
        <v>2.5</v>
      </c>
      <c r="T29" s="15">
        <f>IF(D29&gt;2,0,IF(D29=2,5,IF(D29=1,10,IF(D29&lt;1,15))))</f>
        <v>15</v>
      </c>
      <c r="U29" s="15">
        <f>IF(E29&gt;=2,0,IF(E29=1,5,IF(E29=0,10)))</f>
        <v>10</v>
      </c>
      <c r="V29" s="15">
        <f>IF(Q29&lt;0.5,0,IF(Q29&lt;0.75,5,IF(Q29&lt;1,10,IF(Q29&lt;1.2,15,IF(Q29&gt;=1.2,20)))))</f>
        <v>20</v>
      </c>
      <c r="W29" s="15">
        <f>IF(N29&lt;25000000,0,IF(N29&lt;50000000,5,IF(N29&lt;100000000,10,IF(N29&gt;=100000000,15))))</f>
        <v>0</v>
      </c>
      <c r="X29" s="15">
        <f>IF(R29&lt;0.1,0,IF(R29&lt;0.2,5,IF(R29&lt;0.4,10,IF(R29&lt;0.6,15,IF(R29&gt;=0.6,20)))))</f>
        <v>0</v>
      </c>
      <c r="Y29" s="15">
        <f>IF(S29&lt;1,0,IF(S29&lt;2,5,IF(S29&gt;=2,10)))</f>
        <v>10</v>
      </c>
      <c r="Z29" s="15">
        <f>IF(O29&lt;10,0,IF(O29&lt;20,5,IF(O29&gt;=20,10)))</f>
        <v>0</v>
      </c>
      <c r="AA29" s="16">
        <f>SUM(T29:Z29)</f>
        <v>55</v>
      </c>
      <c r="AB29" s="16" t="str">
        <f>IF(AA29&lt;30,"Grey",IF(AA29&lt;50,"Red",IF(AA29&lt;70,"Amber",IF(AA29&gt;=70,"Green"))))</f>
        <v>Amber</v>
      </c>
      <c r="AC29" s="1"/>
    </row>
    <row r="30" spans="1:29" ht="33" customHeight="1" thickBot="1" x14ac:dyDescent="0.35">
      <c r="A30" t="s">
        <v>3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>
        <v>3</v>
      </c>
      <c r="I30" s="1">
        <v>0</v>
      </c>
      <c r="J30" s="1">
        <v>0</v>
      </c>
      <c r="K30" s="1">
        <v>0</v>
      </c>
      <c r="L30" s="1">
        <v>6</v>
      </c>
      <c r="M30" s="1">
        <v>1</v>
      </c>
      <c r="N30" s="1">
        <v>770000</v>
      </c>
      <c r="O30" s="1">
        <v>10</v>
      </c>
      <c r="P30" s="13">
        <f>H30+I30</f>
        <v>3</v>
      </c>
      <c r="Q30" s="14">
        <f>P30/(C30+D30+E30+F30+G30)</f>
        <v>0.75</v>
      </c>
      <c r="R30" s="14">
        <f>L30/(C30+D30+E30+F30+G30)</f>
        <v>1.5</v>
      </c>
      <c r="S30" s="14">
        <f>M30/(C30+D30+E30+F30+G30)</f>
        <v>0.25</v>
      </c>
      <c r="T30" s="15">
        <f>IF(D30&gt;2,0,IF(D30=2,5,IF(D30=1,10,IF(D30&lt;1,15))))</f>
        <v>15</v>
      </c>
      <c r="U30" s="15">
        <f>IF(E30&gt;=2,0,IF(E30=1,5,IF(E30=0,10)))</f>
        <v>10</v>
      </c>
      <c r="V30" s="15">
        <f>IF(Q30&lt;0.5,0,IF(Q30&lt;0.75,5,IF(Q30&lt;1,10,IF(Q30&lt;1.2,15,IF(Q30&gt;=1.2,20)))))</f>
        <v>10</v>
      </c>
      <c r="W30" s="15">
        <f>IF(N30&lt;25000000,0,IF(N30&lt;50000000,5,IF(N30&lt;100000000,10,IF(N30&gt;=100000000,15))))</f>
        <v>0</v>
      </c>
      <c r="X30" s="15">
        <f>IF(R30&lt;0.1,0,IF(R30&lt;0.2,5,IF(R30&lt;0.4,10,IF(R30&lt;0.6,15,IF(R30&gt;=0.6,20)))))</f>
        <v>20</v>
      </c>
      <c r="Y30" s="15">
        <f>IF(S30&lt;1,0,IF(S30&lt;2,5,IF(S30&gt;=2,10)))</f>
        <v>0</v>
      </c>
      <c r="Z30" s="15">
        <f>IF(O30&lt;10,0,IF(O30&lt;20,5,IF(O30&gt;=20,10)))</f>
        <v>5</v>
      </c>
      <c r="AA30" s="16">
        <f>SUM(T30:Z30)</f>
        <v>60</v>
      </c>
      <c r="AB30" s="16" t="str">
        <f>IF(AA30&lt;30,"Grey",IF(AA30&lt;50,"Red",IF(AA30&lt;70,"Amber",IF(AA30&gt;=70,"Green"))))</f>
        <v>Amber</v>
      </c>
      <c r="AC30" s="2"/>
    </row>
    <row r="31" spans="1:29" ht="33" customHeight="1" thickBot="1" x14ac:dyDescent="0.35">
      <c r="A31" t="s">
        <v>4</v>
      </c>
      <c r="C31" s="2">
        <v>4</v>
      </c>
      <c r="D31" s="2">
        <v>0</v>
      </c>
      <c r="E31" s="2">
        <v>0</v>
      </c>
      <c r="F31" s="2">
        <v>0</v>
      </c>
      <c r="G31" s="2">
        <v>0</v>
      </c>
      <c r="H31" s="2">
        <v>5</v>
      </c>
      <c r="I31" s="2">
        <v>1</v>
      </c>
      <c r="J31" s="2">
        <v>0</v>
      </c>
      <c r="K31" s="2">
        <v>2</v>
      </c>
      <c r="L31" s="2">
        <v>0</v>
      </c>
      <c r="M31" s="2">
        <v>2</v>
      </c>
      <c r="N31" s="2">
        <v>705000</v>
      </c>
      <c r="O31" s="2">
        <v>5</v>
      </c>
      <c r="P31" s="13">
        <f>H31+I31</f>
        <v>6</v>
      </c>
      <c r="Q31" s="14">
        <f>P31/(C31+D31+E31+F31+G31)</f>
        <v>1.5</v>
      </c>
      <c r="R31" s="14">
        <f>L31/(C31+D31+E31+F31+G31)</f>
        <v>0</v>
      </c>
      <c r="S31" s="14">
        <f>M31/(C31+D31+E31+F31+G31)</f>
        <v>0.5</v>
      </c>
      <c r="T31" s="15">
        <f>IF(D31&gt;2,0,IF(D31=2,5,IF(D31=1,10,IF(D31&lt;1,15))))</f>
        <v>15</v>
      </c>
      <c r="U31" s="15">
        <f>IF(E31&gt;=2,0,IF(E31=1,5,IF(E31=0,10)))</f>
        <v>10</v>
      </c>
      <c r="V31" s="15">
        <f>IF(Q31&lt;0.5,0,IF(Q31&lt;0.75,5,IF(Q31&lt;1,10,IF(Q31&lt;1.2,15,IF(Q31&gt;=1.2,20)))))</f>
        <v>20</v>
      </c>
      <c r="W31" s="15">
        <f>IF(N31&lt;25000000,0,IF(N31&lt;50000000,5,IF(N31&lt;100000000,10,IF(N31&gt;=100000000,15))))</f>
        <v>0</v>
      </c>
      <c r="X31" s="15">
        <f>IF(R31&lt;0.1,0,IF(R31&lt;0.2,5,IF(R31&lt;0.4,10,IF(R31&lt;0.6,15,IF(R31&gt;=0.6,20)))))</f>
        <v>0</v>
      </c>
      <c r="Y31" s="15">
        <f>IF(S31&lt;1,0,IF(S31&lt;2,5,IF(S31&gt;=2,10)))</f>
        <v>0</v>
      </c>
      <c r="Z31" s="15">
        <f>IF(O31&lt;10,0,IF(O31&lt;20,5,IF(O31&gt;=20,10)))</f>
        <v>0</v>
      </c>
      <c r="AA31" s="16">
        <f>SUM(T31:Z31)</f>
        <v>45</v>
      </c>
      <c r="AB31" s="16" t="str">
        <f>IF(AA31&lt;30,"Grey",IF(AA31&lt;50,"Red",IF(AA31&lt;70,"Amber",IF(AA31&gt;=70,"Green"))))</f>
        <v>Red</v>
      </c>
      <c r="AC31" s="1"/>
    </row>
    <row r="32" spans="1:29" ht="33" customHeight="1" thickBot="1" x14ac:dyDescent="0.35">
      <c r="A32" t="s">
        <v>5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3</v>
      </c>
      <c r="I32" s="1">
        <v>5</v>
      </c>
      <c r="J32" s="1">
        <v>4</v>
      </c>
      <c r="K32" s="1">
        <v>5</v>
      </c>
      <c r="L32" s="1">
        <v>3</v>
      </c>
      <c r="M32" s="1">
        <v>13</v>
      </c>
      <c r="N32" s="1">
        <v>165000</v>
      </c>
      <c r="O32" s="1">
        <v>2</v>
      </c>
      <c r="P32" s="13">
        <f>H32+I32</f>
        <v>8</v>
      </c>
      <c r="Q32" s="14">
        <f>P32/(C32+D32+E32+F32+G32)</f>
        <v>2</v>
      </c>
      <c r="R32" s="14">
        <f>L32/(C32+D32+E32+F32+G32)</f>
        <v>0.75</v>
      </c>
      <c r="S32" s="14">
        <f>M32/(C32+D32+E32+F32+G32)</f>
        <v>3.25</v>
      </c>
      <c r="T32" s="15">
        <f>IF(D32&gt;2,0,IF(D32=2,5,IF(D32=1,10,IF(D32&lt;1,15))))</f>
        <v>15</v>
      </c>
      <c r="U32" s="15">
        <f>IF(E32&gt;=2,0,IF(E32=1,5,IF(E32=0,10)))</f>
        <v>10</v>
      </c>
      <c r="V32" s="15">
        <f>IF(Q32&lt;0.5,0,IF(Q32&lt;0.75,5,IF(Q32&lt;1,10,IF(Q32&lt;1.2,15,IF(Q32&gt;=1.2,20)))))</f>
        <v>20</v>
      </c>
      <c r="W32" s="15">
        <f>IF(N32&lt;25000000,0,IF(N32&lt;50000000,5,IF(N32&lt;100000000,10,IF(N32&gt;=100000000,15))))</f>
        <v>0</v>
      </c>
      <c r="X32" s="15">
        <f>IF(R32&lt;0.1,0,IF(R32&lt;0.2,5,IF(R32&lt;0.4,10,IF(R32&lt;0.6,15,IF(R32&gt;=0.6,20)))))</f>
        <v>20</v>
      </c>
      <c r="Y32" s="15">
        <f>IF(S32&lt;1,0,IF(S32&lt;2,5,IF(S32&gt;=2,10)))</f>
        <v>10</v>
      </c>
      <c r="Z32" s="15">
        <f>IF(O32&lt;10,0,IF(O32&lt;20,5,IF(O32&gt;=20,10)))</f>
        <v>0</v>
      </c>
      <c r="AA32" s="16">
        <f>SUM(T32:Z32)</f>
        <v>75</v>
      </c>
      <c r="AB32" s="16" t="str">
        <f>IF(AA32&lt;30,"Grey",IF(AA32&lt;50,"Red",IF(AA32&lt;70,"Amber",IF(AA32&gt;=70,"Green"))))</f>
        <v>Green</v>
      </c>
      <c r="AC32" s="2"/>
    </row>
    <row r="33" spans="3:29" ht="33" customHeight="1" thickBot="1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3">
        <f t="shared" ref="P33:P35" si="0">H33+I33</f>
        <v>0</v>
      </c>
      <c r="Q33" s="14" t="e">
        <f t="shared" ref="Q33:Q35" si="1">P33/(C33+D33+E33+F33+G33)</f>
        <v>#DIV/0!</v>
      </c>
      <c r="R33" s="14" t="e">
        <f t="shared" ref="R33:R35" si="2">L33/(C33+D33+E33+F33+G33)</f>
        <v>#DIV/0!</v>
      </c>
      <c r="S33" s="14" t="e">
        <f t="shared" ref="S33:S35" si="3">M33/(C33+D33+E33+F33+G33)</f>
        <v>#DIV/0!</v>
      </c>
      <c r="T33" s="15">
        <f t="shared" ref="T33:T35" si="4">IF(D33&gt;2,0,IF(D33=2,5,IF(D33=1,10,IF(D33&lt;1,15))))</f>
        <v>15</v>
      </c>
      <c r="U33" s="15">
        <f t="shared" ref="U33:U35" si="5">IF(E33&gt;=2,0,IF(E33=1,5,IF(E33=0,10)))</f>
        <v>10</v>
      </c>
      <c r="V33" s="15" t="e">
        <f t="shared" ref="V33:V35" si="6">IF(Q33&lt;0.5,0,IF(Q33&lt;0.75,5,IF(Q33&lt;1,10,IF(Q33&lt;1.2,15,IF(Q33&gt;=1.2,20)))))</f>
        <v>#DIV/0!</v>
      </c>
      <c r="W33" s="15">
        <f t="shared" ref="W33:W35" si="7">IF(N33&lt;25000000,0,IF(N33&lt;50000000,5,IF(N33&lt;100000000,10,IF(N33&gt;=100000000,15))))</f>
        <v>0</v>
      </c>
      <c r="X33" s="15" t="e">
        <f t="shared" ref="X33:X35" si="8">IF(R33&lt;0.1,0,IF(R33&lt;0.2,5,IF(R33&lt;0.4,10,IF(R33&lt;0.6,15,IF(R33&gt;=0.6,20)))))</f>
        <v>#DIV/0!</v>
      </c>
      <c r="Y33" s="15" t="e">
        <f t="shared" ref="Y33:Y35" si="9">IF(S33&lt;1,0,IF(S33&lt;2,5,IF(S33&gt;=2,10)))</f>
        <v>#DIV/0!</v>
      </c>
      <c r="Z33" s="15">
        <f t="shared" ref="Z33:Z35" si="10">IF(O33&lt;10,0,IF(O33&lt;20,5,IF(O33&gt;=20,10)))</f>
        <v>0</v>
      </c>
      <c r="AA33" s="16" t="e">
        <f t="shared" ref="AA33:AA35" si="11">SUM(T33:Z33)</f>
        <v>#DIV/0!</v>
      </c>
      <c r="AB33" s="16" t="e">
        <f t="shared" ref="AB33:AB35" si="12">IF(AA33&lt;30,"Grey",IF(AA33&lt;50,"Red",IF(AA33&lt;70,"Amber",IF(AA33&gt;=70,"Green"))))</f>
        <v>#DIV/0!</v>
      </c>
      <c r="AC33" s="1"/>
    </row>
    <row r="34" spans="3:29" ht="33" customHeight="1" thickBot="1" x14ac:dyDescent="0.3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3">
        <f t="shared" si="0"/>
        <v>0</v>
      </c>
      <c r="Q34" s="14" t="e">
        <f t="shared" si="1"/>
        <v>#DIV/0!</v>
      </c>
      <c r="R34" s="14" t="e">
        <f t="shared" si="2"/>
        <v>#DIV/0!</v>
      </c>
      <c r="S34" s="14" t="e">
        <f t="shared" si="3"/>
        <v>#DIV/0!</v>
      </c>
      <c r="T34" s="15">
        <f t="shared" si="4"/>
        <v>15</v>
      </c>
      <c r="U34" s="15">
        <f t="shared" si="5"/>
        <v>10</v>
      </c>
      <c r="V34" s="15" t="e">
        <f t="shared" si="6"/>
        <v>#DIV/0!</v>
      </c>
      <c r="W34" s="15">
        <f t="shared" si="7"/>
        <v>0</v>
      </c>
      <c r="X34" s="15" t="e">
        <f t="shared" si="8"/>
        <v>#DIV/0!</v>
      </c>
      <c r="Y34" s="15" t="e">
        <f t="shared" si="9"/>
        <v>#DIV/0!</v>
      </c>
      <c r="Z34" s="15">
        <f t="shared" si="10"/>
        <v>0</v>
      </c>
      <c r="AA34" s="16" t="e">
        <f t="shared" si="11"/>
        <v>#DIV/0!</v>
      </c>
      <c r="AB34" s="16" t="e">
        <f t="shared" si="12"/>
        <v>#DIV/0!</v>
      </c>
      <c r="AC34" s="1"/>
    </row>
    <row r="35" spans="3:29" ht="33" customHeight="1" thickBo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3">
        <f t="shared" si="0"/>
        <v>0</v>
      </c>
      <c r="Q35" s="14" t="e">
        <f t="shared" si="1"/>
        <v>#DIV/0!</v>
      </c>
      <c r="R35" s="14" t="e">
        <f t="shared" si="2"/>
        <v>#DIV/0!</v>
      </c>
      <c r="S35" s="14" t="e">
        <f t="shared" si="3"/>
        <v>#DIV/0!</v>
      </c>
      <c r="T35" s="15">
        <f t="shared" si="4"/>
        <v>15</v>
      </c>
      <c r="U35" s="15">
        <f t="shared" si="5"/>
        <v>10</v>
      </c>
      <c r="V35" s="15" t="e">
        <f t="shared" si="6"/>
        <v>#DIV/0!</v>
      </c>
      <c r="W35" s="15">
        <f t="shared" si="7"/>
        <v>0</v>
      </c>
      <c r="X35" s="15" t="e">
        <f t="shared" si="8"/>
        <v>#DIV/0!</v>
      </c>
      <c r="Y35" s="15" t="e">
        <f t="shared" si="9"/>
        <v>#DIV/0!</v>
      </c>
      <c r="Z35" s="15">
        <f t="shared" si="10"/>
        <v>0</v>
      </c>
      <c r="AA35" s="16" t="e">
        <f t="shared" si="11"/>
        <v>#DIV/0!</v>
      </c>
      <c r="AB35" s="16" t="e">
        <f t="shared" si="12"/>
        <v>#DIV/0!</v>
      </c>
      <c r="AC35" s="2"/>
    </row>
    <row r="36" spans="3:29" ht="17.25" thickBot="1" x14ac:dyDescent="0.35"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18"/>
      <c r="O36" s="2"/>
      <c r="P36" s="13">
        <f t="shared" ref="P36" si="13">H36+I36</f>
        <v>0</v>
      </c>
      <c r="Q36" s="14" t="e">
        <f t="shared" ref="Q36" si="14">P36/(C36+D36+E36+F36+G36)</f>
        <v>#DIV/0!</v>
      </c>
      <c r="R36" s="14" t="e">
        <f t="shared" ref="R36" si="15">L36/(C36+D36+E36+F36+G36)</f>
        <v>#DIV/0!</v>
      </c>
      <c r="S36" s="14" t="e">
        <f t="shared" ref="S36" si="16">M36/(C36+D36+E36+F36+G36)</f>
        <v>#DIV/0!</v>
      </c>
      <c r="T36" s="15">
        <f t="shared" ref="T36" si="17">IF(D36&gt;2,0,IF(D36=2,5,IF(D36=1,10,IF(D36&lt;1,15))))</f>
        <v>15</v>
      </c>
      <c r="U36" s="15">
        <f t="shared" ref="U36" si="18">IF(E36&gt;=2,0,IF(E36=1,5,IF(E36=0,10)))</f>
        <v>10</v>
      </c>
      <c r="V36" s="15" t="e">
        <f t="shared" ref="V36" si="19">IF(Q36&lt;0.5,0,IF(Q36&lt;0.75,5,IF(Q36&lt;1,10,IF(Q36&lt;1.2,15,IF(Q36&gt;=1.2,20)))))</f>
        <v>#DIV/0!</v>
      </c>
      <c r="W36" s="15">
        <f t="shared" ref="W36" si="20">IF(N36&lt;25000000,0,IF(N36&lt;50000000,5,IF(N36&lt;100000000,10,IF(N36&gt;=100000000,15))))</f>
        <v>0</v>
      </c>
      <c r="X36" s="15" t="e">
        <f t="shared" ref="X36" si="21">IF(R36&lt;0.1,0,IF(R36&lt;0.2,5,IF(R36&lt;0.4,10,IF(R36&lt;0.6,15,IF(R36&gt;=0.6,20)))))</f>
        <v>#DIV/0!</v>
      </c>
      <c r="Y36" s="15" t="e">
        <f t="shared" ref="Y36" si="22">IF(S36&lt;1,0,IF(S36&lt;2,5,IF(S36&gt;=2,10)))</f>
        <v>#DIV/0!</v>
      </c>
      <c r="Z36" s="15">
        <f t="shared" ref="Z36" si="23">IF(O36&lt;10,0,IF(O36&lt;20,5,IF(O36&gt;=20,10)))</f>
        <v>0</v>
      </c>
      <c r="AA36" s="16" t="e">
        <f t="shared" ref="AA36" si="24">SUM(T36:Z36)</f>
        <v>#DIV/0!</v>
      </c>
      <c r="AB36" s="16" t="e">
        <f t="shared" ref="AB36" si="25">IF(AA36&lt;30,"Grey",IF(AA36&lt;50,"Red",IF(AA36&lt;70,"Amber",IF(AA36&gt;=70,"Green"))))</f>
        <v>#DIV/0!</v>
      </c>
      <c r="AC36" s="2"/>
    </row>
  </sheetData>
  <autoFilter ref="A2:AB2" xr:uid="{9665BF38-321B-4222-B9A1-075A58797BE9}">
    <sortState xmlns:xlrd2="http://schemas.microsoft.com/office/spreadsheetml/2017/richdata2" ref="A3:AB32">
      <sortCondition ref="A2"/>
    </sortState>
  </autoFilter>
  <phoneticPr fontId="5" type="noConversion"/>
  <conditionalFormatting sqref="AA3:AA36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0B76-88A2-4A67-A063-A6D278EB63C9}">
  <dimension ref="A1:AB31"/>
  <sheetViews>
    <sheetView workbookViewId="0">
      <selection sqref="A1:XFD1048576"/>
    </sheetView>
  </sheetViews>
  <sheetFormatPr defaultRowHeight="16.5" x14ac:dyDescent="0.3"/>
  <cols>
    <col min="1" max="1" width="10.75" customWidth="1"/>
    <col min="2" max="2" width="6.375" customWidth="1"/>
    <col min="3" max="13" width="4.875" customWidth="1"/>
    <col min="15" max="15" width="4.875" customWidth="1"/>
    <col min="16" max="26" width="5.125" customWidth="1"/>
  </cols>
  <sheetData>
    <row r="1" spans="1:28" x14ac:dyDescent="0.3">
      <c r="A1" s="17" t="s">
        <v>61</v>
      </c>
      <c r="B1" s="17"/>
    </row>
    <row r="2" spans="1:28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8" ht="33" customHeight="1" thickBot="1" x14ac:dyDescent="0.35">
      <c r="A3" t="s">
        <v>17</v>
      </c>
      <c r="C3" s="2">
        <v>4</v>
      </c>
      <c r="D3" s="2">
        <v>0</v>
      </c>
      <c r="E3" s="2">
        <v>0</v>
      </c>
      <c r="F3" s="2">
        <v>0</v>
      </c>
      <c r="G3" s="2">
        <v>0</v>
      </c>
      <c r="H3" s="2">
        <v>2</v>
      </c>
      <c r="I3" s="2">
        <v>5</v>
      </c>
      <c r="J3" s="2">
        <v>1</v>
      </c>
      <c r="K3" s="2">
        <v>6</v>
      </c>
      <c r="L3" s="2">
        <v>0</v>
      </c>
      <c r="M3" s="2">
        <v>8</v>
      </c>
      <c r="N3" s="2">
        <v>4045000</v>
      </c>
      <c r="O3" s="2">
        <v>6</v>
      </c>
      <c r="P3" s="13">
        <f t="shared" ref="P3:P31" si="0">H3+I3</f>
        <v>7</v>
      </c>
      <c r="Q3" s="14">
        <f t="shared" ref="Q3:Q31" si="1">P3/(C3+D3+E3+F3+G3)</f>
        <v>1.75</v>
      </c>
      <c r="R3" s="14">
        <f t="shared" ref="R3:R31" si="2">L3/(C3+D3+E3+F3+G3)</f>
        <v>0</v>
      </c>
      <c r="S3" s="14">
        <f t="shared" ref="S3:S31" si="3">M3/(C3+D3+E3+F3+G3)</f>
        <v>2</v>
      </c>
      <c r="T3" s="15">
        <f t="shared" ref="T3:T31" si="4">IF(D3&gt;2,0,IF(D3=2,5,IF(D3=1,10,IF(D3&lt;1,15))))</f>
        <v>15</v>
      </c>
      <c r="U3" s="15">
        <f t="shared" ref="U3:U31" si="5">IF(E3&gt;=2,0,IF(E3=1,5,IF(E3=0,10)))</f>
        <v>10</v>
      </c>
      <c r="V3" s="15">
        <f t="shared" ref="V3:V31" si="6">IF(Q3&lt;0.5,0,IF(Q3&lt;0.75,5,IF(Q3&lt;1,10,IF(Q3&lt;1.2,15,IF(Q3&gt;=1.2,20)))))</f>
        <v>20</v>
      </c>
      <c r="W3" s="15">
        <f t="shared" ref="W3:W31" si="7">IF(N3&lt;25000000,0,IF(N3&lt;50000000,5,IF(N3&lt;100000000,10,IF(N3&gt;=100000000,15))))</f>
        <v>0</v>
      </c>
      <c r="X3" s="15">
        <f t="shared" ref="X3:X31" si="8">IF(R3&lt;0.1,0,IF(R3&lt;0.2,5,IF(R3&lt;0.4,10,IF(R3&lt;0.6,15,IF(R3&gt;=0.6,20)))))</f>
        <v>0</v>
      </c>
      <c r="Y3" s="15">
        <f t="shared" ref="Y3:Y31" si="9">IF(S3&lt;1,0,IF(S3&lt;2,5,IF(S3&gt;=2,10)))</f>
        <v>10</v>
      </c>
      <c r="Z3" s="15">
        <f t="shared" ref="Z3:Z31" si="10">IF(O3&lt;10,0,IF(O3&lt;20,5,IF(O3&gt;=20,10)))</f>
        <v>0</v>
      </c>
      <c r="AA3" s="16">
        <f t="shared" ref="AA3:AA31" si="11">SUM(T3:Z3)</f>
        <v>55</v>
      </c>
      <c r="AB3" s="16" t="str">
        <f t="shared" ref="AB3:AB31" si="12">IF(AA3&lt;30,"Grey",IF(AA3&lt;50,"Red",IF(AA3&lt;70,"Amber",IF(AA3&gt;=70,"Green"))))</f>
        <v>Amber</v>
      </c>
    </row>
    <row r="4" spans="1:28" ht="33" customHeight="1" thickBot="1" x14ac:dyDescent="0.35">
      <c r="A4" t="s">
        <v>15</v>
      </c>
      <c r="C4" s="1">
        <v>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7</v>
      </c>
      <c r="J4" s="1">
        <v>1</v>
      </c>
      <c r="K4" s="1">
        <v>5</v>
      </c>
      <c r="L4" s="1">
        <v>0</v>
      </c>
      <c r="M4" s="1">
        <v>9</v>
      </c>
      <c r="N4" s="1">
        <v>1115000</v>
      </c>
      <c r="O4" s="1">
        <v>2</v>
      </c>
      <c r="P4" s="13">
        <f t="shared" si="0"/>
        <v>7</v>
      </c>
      <c r="Q4" s="14">
        <f t="shared" si="1"/>
        <v>1.75</v>
      </c>
      <c r="R4" s="14">
        <f t="shared" si="2"/>
        <v>0</v>
      </c>
      <c r="S4" s="14">
        <f t="shared" si="3"/>
        <v>2.25</v>
      </c>
      <c r="T4" s="15">
        <f t="shared" si="4"/>
        <v>15</v>
      </c>
      <c r="U4" s="15">
        <f t="shared" si="5"/>
        <v>10</v>
      </c>
      <c r="V4" s="15">
        <f t="shared" si="6"/>
        <v>20</v>
      </c>
      <c r="W4" s="15">
        <f t="shared" si="7"/>
        <v>0</v>
      </c>
      <c r="X4" s="15">
        <f t="shared" si="8"/>
        <v>0</v>
      </c>
      <c r="Y4" s="15">
        <f t="shared" si="9"/>
        <v>10</v>
      </c>
      <c r="Z4" s="15">
        <f t="shared" si="10"/>
        <v>0</v>
      </c>
      <c r="AA4" s="16">
        <f t="shared" si="11"/>
        <v>55</v>
      </c>
      <c r="AB4" s="16" t="str">
        <f t="shared" si="12"/>
        <v>Amber</v>
      </c>
    </row>
    <row r="5" spans="1:28" ht="33" customHeight="1" thickBot="1" x14ac:dyDescent="0.35">
      <c r="A5" t="s">
        <v>9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6</v>
      </c>
      <c r="J5" s="1">
        <v>7</v>
      </c>
      <c r="K5" s="1">
        <v>20</v>
      </c>
      <c r="L5" s="1">
        <v>0</v>
      </c>
      <c r="M5" s="1">
        <v>5</v>
      </c>
      <c r="N5" s="1">
        <v>6140000</v>
      </c>
      <c r="O5" s="1">
        <v>15</v>
      </c>
      <c r="P5" s="13">
        <f t="shared" si="0"/>
        <v>8</v>
      </c>
      <c r="Q5" s="14">
        <f t="shared" si="1"/>
        <v>2</v>
      </c>
      <c r="R5" s="14">
        <f t="shared" si="2"/>
        <v>0</v>
      </c>
      <c r="S5" s="14">
        <f t="shared" si="3"/>
        <v>1.25</v>
      </c>
      <c r="T5" s="15">
        <f t="shared" si="4"/>
        <v>15</v>
      </c>
      <c r="U5" s="15">
        <f t="shared" si="5"/>
        <v>10</v>
      </c>
      <c r="V5" s="15">
        <f t="shared" si="6"/>
        <v>20</v>
      </c>
      <c r="W5" s="15">
        <f t="shared" si="7"/>
        <v>0</v>
      </c>
      <c r="X5" s="15">
        <f t="shared" si="8"/>
        <v>0</v>
      </c>
      <c r="Y5" s="15">
        <f t="shared" si="9"/>
        <v>5</v>
      </c>
      <c r="Z5" s="15">
        <f t="shared" si="10"/>
        <v>5</v>
      </c>
      <c r="AA5" s="16">
        <f t="shared" si="11"/>
        <v>55</v>
      </c>
      <c r="AB5" s="16" t="str">
        <f t="shared" si="12"/>
        <v>Amber</v>
      </c>
    </row>
    <row r="6" spans="1:28" ht="33" customHeight="1" thickBot="1" x14ac:dyDescent="0.35">
      <c r="A6" t="s">
        <v>13</v>
      </c>
      <c r="C6" s="1">
        <v>2</v>
      </c>
      <c r="D6" s="1">
        <v>0</v>
      </c>
      <c r="E6" s="1">
        <v>1</v>
      </c>
      <c r="F6" s="1">
        <v>1</v>
      </c>
      <c r="G6" s="1">
        <v>0</v>
      </c>
      <c r="H6" s="1">
        <v>5</v>
      </c>
      <c r="I6" s="1">
        <v>0</v>
      </c>
      <c r="J6" s="1">
        <v>10</v>
      </c>
      <c r="K6" s="1">
        <v>21</v>
      </c>
      <c r="L6" s="1">
        <v>0</v>
      </c>
      <c r="M6" s="1">
        <v>6</v>
      </c>
      <c r="N6" s="1">
        <v>367000</v>
      </c>
      <c r="O6" s="1">
        <v>10</v>
      </c>
      <c r="P6" s="13">
        <f t="shared" si="0"/>
        <v>5</v>
      </c>
      <c r="Q6" s="14">
        <f t="shared" si="1"/>
        <v>1.25</v>
      </c>
      <c r="R6" s="14">
        <f t="shared" si="2"/>
        <v>0</v>
      </c>
      <c r="S6" s="14">
        <f t="shared" si="3"/>
        <v>1.5</v>
      </c>
      <c r="T6" s="15">
        <f t="shared" si="4"/>
        <v>15</v>
      </c>
      <c r="U6" s="15">
        <f t="shared" si="5"/>
        <v>5</v>
      </c>
      <c r="V6" s="15">
        <f t="shared" si="6"/>
        <v>20</v>
      </c>
      <c r="W6" s="15">
        <f t="shared" si="7"/>
        <v>0</v>
      </c>
      <c r="X6" s="15">
        <f t="shared" si="8"/>
        <v>0</v>
      </c>
      <c r="Y6" s="15">
        <f t="shared" si="9"/>
        <v>5</v>
      </c>
      <c r="Z6" s="15">
        <f t="shared" si="10"/>
        <v>5</v>
      </c>
      <c r="AA6" s="16">
        <f t="shared" si="11"/>
        <v>50</v>
      </c>
      <c r="AB6" s="16" t="str">
        <f t="shared" si="12"/>
        <v>Amber</v>
      </c>
    </row>
    <row r="7" spans="1:28" ht="33" customHeight="1" thickBot="1" x14ac:dyDescent="0.35">
      <c r="A7" t="s">
        <v>12</v>
      </c>
      <c r="C7" s="2">
        <v>4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2</v>
      </c>
      <c r="J7" s="2">
        <v>2</v>
      </c>
      <c r="K7" s="2">
        <v>1</v>
      </c>
      <c r="L7" s="2">
        <v>0</v>
      </c>
      <c r="M7" s="2">
        <v>5</v>
      </c>
      <c r="N7" s="2">
        <v>200000</v>
      </c>
      <c r="O7" s="2">
        <v>6</v>
      </c>
      <c r="P7" s="13">
        <f t="shared" si="0"/>
        <v>3</v>
      </c>
      <c r="Q7" s="14">
        <f t="shared" si="1"/>
        <v>0.75</v>
      </c>
      <c r="R7" s="14">
        <f t="shared" si="2"/>
        <v>0</v>
      </c>
      <c r="S7" s="14">
        <f t="shared" si="3"/>
        <v>1.25</v>
      </c>
      <c r="T7" s="15">
        <f t="shared" si="4"/>
        <v>15</v>
      </c>
      <c r="U7" s="15">
        <f t="shared" si="5"/>
        <v>10</v>
      </c>
      <c r="V7" s="15">
        <f t="shared" si="6"/>
        <v>10</v>
      </c>
      <c r="W7" s="15">
        <f t="shared" si="7"/>
        <v>0</v>
      </c>
      <c r="X7" s="15">
        <f t="shared" si="8"/>
        <v>0</v>
      </c>
      <c r="Y7" s="15">
        <f t="shared" si="9"/>
        <v>5</v>
      </c>
      <c r="Z7" s="15">
        <f t="shared" si="10"/>
        <v>0</v>
      </c>
      <c r="AA7" s="16">
        <f t="shared" si="11"/>
        <v>40</v>
      </c>
      <c r="AB7" s="16" t="str">
        <f t="shared" si="12"/>
        <v>Red</v>
      </c>
    </row>
    <row r="8" spans="1:28" ht="33" customHeight="1" thickBot="1" x14ac:dyDescent="0.35">
      <c r="A8" t="s">
        <v>11</v>
      </c>
      <c r="C8" s="1">
        <v>4</v>
      </c>
      <c r="D8" s="1">
        <v>0</v>
      </c>
      <c r="E8" s="1">
        <v>0</v>
      </c>
      <c r="F8" s="1">
        <v>0</v>
      </c>
      <c r="G8" s="1">
        <v>0</v>
      </c>
      <c r="H8" s="1">
        <v>7</v>
      </c>
      <c r="I8" s="1">
        <v>1</v>
      </c>
      <c r="J8" s="1">
        <v>2</v>
      </c>
      <c r="K8" s="1">
        <v>2</v>
      </c>
      <c r="L8" s="1">
        <v>0</v>
      </c>
      <c r="M8" s="1">
        <v>5</v>
      </c>
      <c r="N8" s="1">
        <v>930000</v>
      </c>
      <c r="O8" s="1">
        <v>3</v>
      </c>
      <c r="P8" s="13">
        <f t="shared" si="0"/>
        <v>8</v>
      </c>
      <c r="Q8" s="14">
        <f t="shared" si="1"/>
        <v>2</v>
      </c>
      <c r="R8" s="14">
        <f t="shared" si="2"/>
        <v>0</v>
      </c>
      <c r="S8" s="14">
        <f t="shared" si="3"/>
        <v>1.25</v>
      </c>
      <c r="T8" s="15">
        <f t="shared" si="4"/>
        <v>15</v>
      </c>
      <c r="U8" s="15">
        <f t="shared" si="5"/>
        <v>10</v>
      </c>
      <c r="V8" s="15">
        <f t="shared" si="6"/>
        <v>20</v>
      </c>
      <c r="W8" s="15">
        <f t="shared" si="7"/>
        <v>0</v>
      </c>
      <c r="X8" s="15">
        <f t="shared" si="8"/>
        <v>0</v>
      </c>
      <c r="Y8" s="15">
        <f t="shared" si="9"/>
        <v>5</v>
      </c>
      <c r="Z8" s="15">
        <f t="shared" si="10"/>
        <v>0</v>
      </c>
      <c r="AA8" s="16">
        <f t="shared" si="11"/>
        <v>50</v>
      </c>
      <c r="AB8" s="16" t="str">
        <f t="shared" si="12"/>
        <v>Amber</v>
      </c>
    </row>
    <row r="9" spans="1:28" ht="33" customHeight="1" thickBot="1" x14ac:dyDescent="0.35">
      <c r="A9" t="s">
        <v>10</v>
      </c>
      <c r="C9" s="2">
        <v>4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6</v>
      </c>
      <c r="J9" s="2">
        <v>0</v>
      </c>
      <c r="K9" s="2">
        <v>2</v>
      </c>
      <c r="L9" s="2">
        <v>1</v>
      </c>
      <c r="M9" s="2">
        <v>9</v>
      </c>
      <c r="N9" s="2">
        <v>200000</v>
      </c>
      <c r="O9" s="2">
        <v>10</v>
      </c>
      <c r="P9" s="13">
        <f t="shared" si="0"/>
        <v>7</v>
      </c>
      <c r="Q9" s="14">
        <f t="shared" si="1"/>
        <v>1.75</v>
      </c>
      <c r="R9" s="14">
        <f t="shared" si="2"/>
        <v>0.25</v>
      </c>
      <c r="S9" s="14">
        <f t="shared" si="3"/>
        <v>2.25</v>
      </c>
      <c r="T9" s="15">
        <f t="shared" si="4"/>
        <v>15</v>
      </c>
      <c r="U9" s="15">
        <f t="shared" si="5"/>
        <v>10</v>
      </c>
      <c r="V9" s="15">
        <f t="shared" si="6"/>
        <v>20</v>
      </c>
      <c r="W9" s="15">
        <f t="shared" si="7"/>
        <v>0</v>
      </c>
      <c r="X9" s="15">
        <f t="shared" si="8"/>
        <v>10</v>
      </c>
      <c r="Y9" s="15">
        <f t="shared" si="9"/>
        <v>10</v>
      </c>
      <c r="Z9" s="15">
        <f t="shared" si="10"/>
        <v>5</v>
      </c>
      <c r="AA9" s="16">
        <f t="shared" si="11"/>
        <v>70</v>
      </c>
      <c r="AB9" s="16" t="str">
        <f t="shared" si="12"/>
        <v>Green</v>
      </c>
    </row>
    <row r="10" spans="1:28" ht="33" customHeight="1" thickBot="1" x14ac:dyDescent="0.35">
      <c r="A10" t="s">
        <v>14</v>
      </c>
      <c r="C10" s="2">
        <v>4</v>
      </c>
      <c r="D10" s="2">
        <v>0</v>
      </c>
      <c r="E10" s="2">
        <v>0</v>
      </c>
      <c r="F10" s="2">
        <v>0</v>
      </c>
      <c r="G10" s="2">
        <v>0</v>
      </c>
      <c r="H10" s="2">
        <v>7</v>
      </c>
      <c r="I10" s="2">
        <v>9</v>
      </c>
      <c r="J10" s="2">
        <v>1</v>
      </c>
      <c r="K10" s="2">
        <v>14</v>
      </c>
      <c r="L10" s="2">
        <v>1</v>
      </c>
      <c r="M10" s="2">
        <v>19</v>
      </c>
      <c r="N10" s="2">
        <v>3920900</v>
      </c>
      <c r="O10" s="2">
        <v>5</v>
      </c>
      <c r="P10" s="13">
        <f t="shared" si="0"/>
        <v>16</v>
      </c>
      <c r="Q10" s="14">
        <f t="shared" si="1"/>
        <v>4</v>
      </c>
      <c r="R10" s="14">
        <f t="shared" si="2"/>
        <v>0.25</v>
      </c>
      <c r="S10" s="14">
        <f t="shared" si="3"/>
        <v>4.75</v>
      </c>
      <c r="T10" s="15">
        <f t="shared" si="4"/>
        <v>15</v>
      </c>
      <c r="U10" s="15">
        <f t="shared" si="5"/>
        <v>10</v>
      </c>
      <c r="V10" s="15">
        <f t="shared" si="6"/>
        <v>20</v>
      </c>
      <c r="W10" s="15">
        <f t="shared" si="7"/>
        <v>0</v>
      </c>
      <c r="X10" s="15">
        <f t="shared" si="8"/>
        <v>10</v>
      </c>
      <c r="Y10" s="15">
        <f t="shared" si="9"/>
        <v>10</v>
      </c>
      <c r="Z10" s="15">
        <f t="shared" si="10"/>
        <v>0</v>
      </c>
      <c r="AA10" s="16">
        <f t="shared" si="11"/>
        <v>65</v>
      </c>
      <c r="AB10" s="16" t="str">
        <f t="shared" si="12"/>
        <v>Amber</v>
      </c>
    </row>
    <row r="11" spans="1:28" ht="33" customHeight="1" thickBot="1" x14ac:dyDescent="0.35">
      <c r="A11" t="s">
        <v>28</v>
      </c>
      <c r="C11" s="1">
        <v>3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4</v>
      </c>
      <c r="K11" s="1">
        <v>3</v>
      </c>
      <c r="L11" s="1">
        <v>0</v>
      </c>
      <c r="M11" s="1">
        <v>9</v>
      </c>
      <c r="N11" s="1">
        <v>95000</v>
      </c>
      <c r="O11" s="1">
        <v>8</v>
      </c>
      <c r="P11" s="13">
        <f t="shared" si="0"/>
        <v>0</v>
      </c>
      <c r="Q11" s="14">
        <f t="shared" si="1"/>
        <v>0</v>
      </c>
      <c r="R11" s="14">
        <f t="shared" si="2"/>
        <v>0</v>
      </c>
      <c r="S11" s="14">
        <f t="shared" si="3"/>
        <v>2.25</v>
      </c>
      <c r="T11" s="15">
        <f t="shared" si="4"/>
        <v>15</v>
      </c>
      <c r="U11" s="15">
        <f t="shared" si="5"/>
        <v>5</v>
      </c>
      <c r="V11" s="15">
        <f t="shared" si="6"/>
        <v>0</v>
      </c>
      <c r="W11" s="15">
        <f t="shared" si="7"/>
        <v>0</v>
      </c>
      <c r="X11" s="15">
        <f t="shared" si="8"/>
        <v>0</v>
      </c>
      <c r="Y11" s="15">
        <f t="shared" si="9"/>
        <v>10</v>
      </c>
      <c r="Z11" s="15">
        <f t="shared" si="10"/>
        <v>0</v>
      </c>
      <c r="AA11" s="16">
        <f t="shared" si="11"/>
        <v>30</v>
      </c>
      <c r="AB11" s="16" t="str">
        <f t="shared" si="12"/>
        <v>Red</v>
      </c>
    </row>
    <row r="12" spans="1:28" ht="33" customHeight="1" thickBot="1" x14ac:dyDescent="0.35">
      <c r="A12" t="s">
        <v>26</v>
      </c>
      <c r="C12" s="2">
        <v>3</v>
      </c>
      <c r="D12" s="2">
        <v>1</v>
      </c>
      <c r="E12" s="2">
        <v>0</v>
      </c>
      <c r="F12" s="2">
        <v>0</v>
      </c>
      <c r="G12" s="2">
        <v>0</v>
      </c>
      <c r="H12" s="2">
        <v>9</v>
      </c>
      <c r="I12" s="2">
        <v>12</v>
      </c>
      <c r="J12" s="2">
        <v>6</v>
      </c>
      <c r="K12" s="2">
        <v>3</v>
      </c>
      <c r="L12" s="2">
        <v>2</v>
      </c>
      <c r="M12" s="2">
        <v>12</v>
      </c>
      <c r="N12" s="2">
        <v>430000</v>
      </c>
      <c r="O12" s="2">
        <v>19</v>
      </c>
      <c r="P12" s="13">
        <f t="shared" si="0"/>
        <v>21</v>
      </c>
      <c r="Q12" s="14">
        <f t="shared" si="1"/>
        <v>5.25</v>
      </c>
      <c r="R12" s="14">
        <f t="shared" si="2"/>
        <v>0.5</v>
      </c>
      <c r="S12" s="14">
        <f t="shared" si="3"/>
        <v>3</v>
      </c>
      <c r="T12" s="15">
        <f t="shared" si="4"/>
        <v>10</v>
      </c>
      <c r="U12" s="15">
        <f t="shared" si="5"/>
        <v>10</v>
      </c>
      <c r="V12" s="15">
        <f t="shared" si="6"/>
        <v>20</v>
      </c>
      <c r="W12" s="15">
        <f t="shared" si="7"/>
        <v>0</v>
      </c>
      <c r="X12" s="15">
        <f t="shared" si="8"/>
        <v>15</v>
      </c>
      <c r="Y12" s="15">
        <f t="shared" si="9"/>
        <v>10</v>
      </c>
      <c r="Z12" s="15">
        <f t="shared" si="10"/>
        <v>5</v>
      </c>
      <c r="AA12" s="16">
        <f t="shared" si="11"/>
        <v>70</v>
      </c>
      <c r="AB12" s="16" t="str">
        <f t="shared" si="12"/>
        <v>Green</v>
      </c>
    </row>
    <row r="13" spans="1:28" ht="33" customHeight="1" thickBot="1" x14ac:dyDescent="0.35">
      <c r="A13" t="s">
        <v>31</v>
      </c>
      <c r="C13" s="3">
        <v>4</v>
      </c>
      <c r="D13" s="3">
        <v>0</v>
      </c>
      <c r="E13" s="3">
        <v>0</v>
      </c>
      <c r="F13" s="3">
        <v>0</v>
      </c>
      <c r="G13" s="3">
        <v>0</v>
      </c>
      <c r="H13" s="3">
        <v>10</v>
      </c>
      <c r="I13" s="3">
        <v>6</v>
      </c>
      <c r="J13" s="3">
        <v>18</v>
      </c>
      <c r="K13" s="3">
        <v>16</v>
      </c>
      <c r="L13" s="3">
        <v>1</v>
      </c>
      <c r="M13" s="3">
        <v>24</v>
      </c>
      <c r="N13" s="3">
        <v>4285660</v>
      </c>
      <c r="O13" s="3">
        <v>6</v>
      </c>
      <c r="P13" s="13">
        <f t="shared" si="0"/>
        <v>16</v>
      </c>
      <c r="Q13" s="14">
        <f t="shared" si="1"/>
        <v>4</v>
      </c>
      <c r="R13" s="14">
        <f t="shared" si="2"/>
        <v>0.25</v>
      </c>
      <c r="S13" s="14">
        <f t="shared" si="3"/>
        <v>6</v>
      </c>
      <c r="T13" s="15">
        <f t="shared" si="4"/>
        <v>15</v>
      </c>
      <c r="U13" s="15">
        <f t="shared" si="5"/>
        <v>10</v>
      </c>
      <c r="V13" s="15">
        <f t="shared" si="6"/>
        <v>20</v>
      </c>
      <c r="W13" s="15">
        <f t="shared" si="7"/>
        <v>0</v>
      </c>
      <c r="X13" s="15">
        <f t="shared" si="8"/>
        <v>10</v>
      </c>
      <c r="Y13" s="15">
        <f t="shared" si="9"/>
        <v>10</v>
      </c>
      <c r="Z13" s="15">
        <f t="shared" si="10"/>
        <v>0</v>
      </c>
      <c r="AA13" s="16">
        <f t="shared" si="11"/>
        <v>65</v>
      </c>
      <c r="AB13" s="16" t="str">
        <f t="shared" si="12"/>
        <v>Amber</v>
      </c>
    </row>
    <row r="14" spans="1:28" ht="33" customHeight="1" thickBot="1" x14ac:dyDescent="0.35">
      <c r="A14" t="s">
        <v>29</v>
      </c>
      <c r="C14" s="2">
        <v>4</v>
      </c>
      <c r="D14" s="2">
        <v>0</v>
      </c>
      <c r="E14" s="2">
        <v>0</v>
      </c>
      <c r="F14" s="2">
        <v>0</v>
      </c>
      <c r="G14" s="2">
        <v>0</v>
      </c>
      <c r="H14" s="2">
        <v>4</v>
      </c>
      <c r="I14" s="2">
        <v>3</v>
      </c>
      <c r="J14" s="2">
        <v>8</v>
      </c>
      <c r="K14" s="2">
        <v>7</v>
      </c>
      <c r="L14" s="2">
        <v>0</v>
      </c>
      <c r="M14" s="2">
        <v>8</v>
      </c>
      <c r="N14" s="2">
        <v>290000</v>
      </c>
      <c r="O14" s="2">
        <v>15</v>
      </c>
      <c r="P14" s="13">
        <f t="shared" si="0"/>
        <v>7</v>
      </c>
      <c r="Q14" s="14">
        <f t="shared" si="1"/>
        <v>1.75</v>
      </c>
      <c r="R14" s="14">
        <f t="shared" si="2"/>
        <v>0</v>
      </c>
      <c r="S14" s="14">
        <f t="shared" si="3"/>
        <v>2</v>
      </c>
      <c r="T14" s="15">
        <f t="shared" si="4"/>
        <v>15</v>
      </c>
      <c r="U14" s="15">
        <f t="shared" si="5"/>
        <v>10</v>
      </c>
      <c r="V14" s="15">
        <f t="shared" si="6"/>
        <v>20</v>
      </c>
      <c r="W14" s="15">
        <f t="shared" si="7"/>
        <v>0</v>
      </c>
      <c r="X14" s="15">
        <f t="shared" si="8"/>
        <v>0</v>
      </c>
      <c r="Y14" s="15">
        <f t="shared" si="9"/>
        <v>10</v>
      </c>
      <c r="Z14" s="15">
        <f t="shared" si="10"/>
        <v>5</v>
      </c>
      <c r="AA14" s="16">
        <f t="shared" si="11"/>
        <v>60</v>
      </c>
      <c r="AB14" s="16" t="str">
        <f t="shared" si="12"/>
        <v>Amber</v>
      </c>
    </row>
    <row r="15" spans="1:28" ht="33" customHeight="1" thickBot="1" x14ac:dyDescent="0.35">
      <c r="A15" t="s">
        <v>30</v>
      </c>
      <c r="C15" s="1">
        <v>4</v>
      </c>
      <c r="D15" s="1">
        <v>0</v>
      </c>
      <c r="E15" s="1">
        <v>0</v>
      </c>
      <c r="F15" s="1">
        <v>0</v>
      </c>
      <c r="G15" s="1">
        <v>0</v>
      </c>
      <c r="H15" s="1">
        <v>3</v>
      </c>
      <c r="I15" s="1">
        <v>17</v>
      </c>
      <c r="J15" s="1">
        <v>1</v>
      </c>
      <c r="K15" s="1">
        <v>11</v>
      </c>
      <c r="L15" s="1">
        <v>0</v>
      </c>
      <c r="M15" s="1">
        <v>8</v>
      </c>
      <c r="N15" s="1">
        <v>10562000</v>
      </c>
      <c r="O15" s="1">
        <v>0</v>
      </c>
      <c r="P15" s="13">
        <f t="shared" si="0"/>
        <v>20</v>
      </c>
      <c r="Q15" s="14">
        <f t="shared" si="1"/>
        <v>5</v>
      </c>
      <c r="R15" s="14">
        <f t="shared" si="2"/>
        <v>0</v>
      </c>
      <c r="S15" s="14">
        <f t="shared" si="3"/>
        <v>2</v>
      </c>
      <c r="T15" s="15">
        <f t="shared" si="4"/>
        <v>15</v>
      </c>
      <c r="U15" s="15">
        <f t="shared" si="5"/>
        <v>10</v>
      </c>
      <c r="V15" s="15">
        <f t="shared" si="6"/>
        <v>20</v>
      </c>
      <c r="W15" s="15">
        <f t="shared" si="7"/>
        <v>0</v>
      </c>
      <c r="X15" s="15">
        <f t="shared" si="8"/>
        <v>0</v>
      </c>
      <c r="Y15" s="15">
        <f t="shared" si="9"/>
        <v>10</v>
      </c>
      <c r="Z15" s="15">
        <f t="shared" si="10"/>
        <v>0</v>
      </c>
      <c r="AA15" s="16">
        <f t="shared" si="11"/>
        <v>55</v>
      </c>
      <c r="AB15" s="16" t="str">
        <f t="shared" si="12"/>
        <v>Amber</v>
      </c>
    </row>
    <row r="16" spans="1:28" ht="33" customHeight="1" thickBot="1" x14ac:dyDescent="0.35">
      <c r="A16" t="s">
        <v>32</v>
      </c>
      <c r="C16" s="1">
        <v>4</v>
      </c>
      <c r="D16" s="1">
        <v>0</v>
      </c>
      <c r="E16" s="1">
        <v>0</v>
      </c>
      <c r="F16" s="1">
        <v>0</v>
      </c>
      <c r="G16" s="1">
        <v>0</v>
      </c>
      <c r="H16" s="1">
        <v>4</v>
      </c>
      <c r="I16" s="1">
        <v>2</v>
      </c>
      <c r="J16" s="1">
        <v>25</v>
      </c>
      <c r="K16" s="1">
        <v>11</v>
      </c>
      <c r="L16" s="1">
        <v>0</v>
      </c>
      <c r="M16" s="1">
        <v>21</v>
      </c>
      <c r="N16" s="1">
        <v>735100</v>
      </c>
      <c r="O16" s="1">
        <v>13</v>
      </c>
      <c r="P16" s="13">
        <f t="shared" si="0"/>
        <v>6</v>
      </c>
      <c r="Q16" s="14">
        <f t="shared" si="1"/>
        <v>1.5</v>
      </c>
      <c r="R16" s="14">
        <f t="shared" si="2"/>
        <v>0</v>
      </c>
      <c r="S16" s="14">
        <f t="shared" si="3"/>
        <v>5.25</v>
      </c>
      <c r="T16" s="15">
        <f t="shared" si="4"/>
        <v>15</v>
      </c>
      <c r="U16" s="15">
        <f t="shared" si="5"/>
        <v>10</v>
      </c>
      <c r="V16" s="15">
        <f t="shared" si="6"/>
        <v>20</v>
      </c>
      <c r="W16" s="15">
        <f t="shared" si="7"/>
        <v>0</v>
      </c>
      <c r="X16" s="15">
        <f t="shared" si="8"/>
        <v>0</v>
      </c>
      <c r="Y16" s="15">
        <f t="shared" si="9"/>
        <v>10</v>
      </c>
      <c r="Z16" s="15">
        <f t="shared" si="10"/>
        <v>5</v>
      </c>
      <c r="AA16" s="16">
        <f t="shared" si="11"/>
        <v>60</v>
      </c>
      <c r="AB16" s="16" t="str">
        <f t="shared" si="12"/>
        <v>Amber</v>
      </c>
    </row>
    <row r="17" spans="1:28" ht="33" customHeight="1" thickBot="1" x14ac:dyDescent="0.35">
      <c r="A17" t="s">
        <v>18</v>
      </c>
      <c r="C17" s="1">
        <v>4</v>
      </c>
      <c r="D17" s="1">
        <v>0</v>
      </c>
      <c r="E17" s="1">
        <v>0</v>
      </c>
      <c r="F17" s="1">
        <v>0</v>
      </c>
      <c r="G17" s="1">
        <v>0</v>
      </c>
      <c r="H17" s="1">
        <v>3</v>
      </c>
      <c r="I17" s="1">
        <v>3</v>
      </c>
      <c r="J17" s="1">
        <v>0</v>
      </c>
      <c r="K17" s="1">
        <v>1</v>
      </c>
      <c r="L17" s="1">
        <v>0</v>
      </c>
      <c r="M17" s="1">
        <v>9</v>
      </c>
      <c r="N17" s="1">
        <v>7575000</v>
      </c>
      <c r="O17" s="1">
        <v>18</v>
      </c>
      <c r="P17" s="13">
        <f t="shared" si="0"/>
        <v>6</v>
      </c>
      <c r="Q17" s="14">
        <f t="shared" si="1"/>
        <v>1.5</v>
      </c>
      <c r="R17" s="14">
        <f t="shared" si="2"/>
        <v>0</v>
      </c>
      <c r="S17" s="14">
        <f t="shared" si="3"/>
        <v>2.25</v>
      </c>
      <c r="T17" s="15">
        <f t="shared" si="4"/>
        <v>15</v>
      </c>
      <c r="U17" s="15">
        <f t="shared" si="5"/>
        <v>10</v>
      </c>
      <c r="V17" s="15">
        <f t="shared" si="6"/>
        <v>20</v>
      </c>
      <c r="W17" s="15">
        <f t="shared" si="7"/>
        <v>0</v>
      </c>
      <c r="X17" s="15">
        <f t="shared" si="8"/>
        <v>0</v>
      </c>
      <c r="Y17" s="15">
        <f t="shared" si="9"/>
        <v>10</v>
      </c>
      <c r="Z17" s="15">
        <f t="shared" si="10"/>
        <v>5</v>
      </c>
      <c r="AA17" s="16">
        <f t="shared" si="11"/>
        <v>60</v>
      </c>
      <c r="AB17" s="16" t="str">
        <f t="shared" si="12"/>
        <v>Amber</v>
      </c>
    </row>
    <row r="18" spans="1:28" ht="33" customHeight="1" thickBot="1" x14ac:dyDescent="0.35">
      <c r="A18" t="s">
        <v>22</v>
      </c>
      <c r="C18" s="1">
        <v>4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7</v>
      </c>
      <c r="J18" s="1">
        <v>1</v>
      </c>
      <c r="K18" s="1">
        <v>1</v>
      </c>
      <c r="L18" s="1">
        <v>0</v>
      </c>
      <c r="M18" s="1">
        <v>10</v>
      </c>
      <c r="N18" s="1">
        <v>36107000</v>
      </c>
      <c r="O18" s="1">
        <v>8</v>
      </c>
      <c r="P18" s="13">
        <f t="shared" si="0"/>
        <v>9</v>
      </c>
      <c r="Q18" s="14">
        <f t="shared" si="1"/>
        <v>2.25</v>
      </c>
      <c r="R18" s="14">
        <f t="shared" si="2"/>
        <v>0</v>
      </c>
      <c r="S18" s="14">
        <f t="shared" si="3"/>
        <v>2.5</v>
      </c>
      <c r="T18" s="15">
        <f t="shared" si="4"/>
        <v>15</v>
      </c>
      <c r="U18" s="15">
        <f t="shared" si="5"/>
        <v>10</v>
      </c>
      <c r="V18" s="15">
        <f t="shared" si="6"/>
        <v>20</v>
      </c>
      <c r="W18" s="15">
        <f t="shared" si="7"/>
        <v>5</v>
      </c>
      <c r="X18" s="15">
        <f t="shared" si="8"/>
        <v>0</v>
      </c>
      <c r="Y18" s="15">
        <f t="shared" si="9"/>
        <v>10</v>
      </c>
      <c r="Z18" s="15">
        <f t="shared" si="10"/>
        <v>0</v>
      </c>
      <c r="AA18" s="16">
        <f t="shared" si="11"/>
        <v>60</v>
      </c>
      <c r="AB18" s="16" t="str">
        <f t="shared" si="12"/>
        <v>Amber</v>
      </c>
    </row>
    <row r="19" spans="1:28" ht="33" customHeight="1" thickBot="1" x14ac:dyDescent="0.35">
      <c r="A19" t="s">
        <v>19</v>
      </c>
      <c r="C19" s="2">
        <v>4</v>
      </c>
      <c r="D19" s="2">
        <v>0</v>
      </c>
      <c r="E19" s="2">
        <v>0</v>
      </c>
      <c r="F19" s="2">
        <v>0</v>
      </c>
      <c r="G19" s="2">
        <v>0</v>
      </c>
      <c r="H19" s="2">
        <v>5</v>
      </c>
      <c r="I19" s="2">
        <v>7</v>
      </c>
      <c r="J19" s="2">
        <v>5</v>
      </c>
      <c r="K19" s="2">
        <v>1</v>
      </c>
      <c r="L19" s="2">
        <v>0</v>
      </c>
      <c r="M19" s="2">
        <v>11</v>
      </c>
      <c r="N19" s="2">
        <v>1752100</v>
      </c>
      <c r="O19" s="2">
        <v>10</v>
      </c>
      <c r="P19" s="13">
        <f t="shared" si="0"/>
        <v>12</v>
      </c>
      <c r="Q19" s="14">
        <f t="shared" si="1"/>
        <v>3</v>
      </c>
      <c r="R19" s="14">
        <f t="shared" si="2"/>
        <v>0</v>
      </c>
      <c r="S19" s="14">
        <f t="shared" si="3"/>
        <v>2.75</v>
      </c>
      <c r="T19" s="15">
        <f t="shared" si="4"/>
        <v>15</v>
      </c>
      <c r="U19" s="15">
        <f t="shared" si="5"/>
        <v>10</v>
      </c>
      <c r="V19" s="15">
        <f t="shared" si="6"/>
        <v>20</v>
      </c>
      <c r="W19" s="15">
        <f t="shared" si="7"/>
        <v>0</v>
      </c>
      <c r="X19" s="15">
        <f t="shared" si="8"/>
        <v>0</v>
      </c>
      <c r="Y19" s="15">
        <f t="shared" si="9"/>
        <v>10</v>
      </c>
      <c r="Z19" s="15">
        <f t="shared" si="10"/>
        <v>5</v>
      </c>
      <c r="AA19" s="16">
        <f t="shared" si="11"/>
        <v>60</v>
      </c>
      <c r="AB19" s="16" t="str">
        <f t="shared" si="12"/>
        <v>Amber</v>
      </c>
    </row>
    <row r="20" spans="1:28" ht="33" customHeight="1" thickBot="1" x14ac:dyDescent="0.35">
      <c r="A20" t="s">
        <v>20</v>
      </c>
      <c r="C20" s="1">
        <v>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5</v>
      </c>
      <c r="P20" s="13">
        <f t="shared" si="0"/>
        <v>0</v>
      </c>
      <c r="Q20" s="14">
        <f t="shared" si="1"/>
        <v>0</v>
      </c>
      <c r="R20" s="14">
        <f t="shared" si="2"/>
        <v>0</v>
      </c>
      <c r="S20" s="14">
        <f t="shared" si="3"/>
        <v>0</v>
      </c>
      <c r="T20" s="15">
        <f t="shared" si="4"/>
        <v>15</v>
      </c>
      <c r="U20" s="15">
        <f t="shared" si="5"/>
        <v>10</v>
      </c>
      <c r="V20" s="15">
        <f t="shared" si="6"/>
        <v>0</v>
      </c>
      <c r="W20" s="15">
        <f t="shared" si="7"/>
        <v>0</v>
      </c>
      <c r="X20" s="15">
        <f t="shared" si="8"/>
        <v>0</v>
      </c>
      <c r="Y20" s="15">
        <f t="shared" si="9"/>
        <v>0</v>
      </c>
      <c r="Z20" s="15">
        <f t="shared" si="10"/>
        <v>0</v>
      </c>
      <c r="AA20" s="16">
        <f t="shared" si="11"/>
        <v>25</v>
      </c>
      <c r="AB20" s="16" t="str">
        <f t="shared" si="12"/>
        <v>Grey</v>
      </c>
    </row>
    <row r="21" spans="1:28" ht="33" customHeight="1" thickBot="1" x14ac:dyDescent="0.35">
      <c r="A21" t="s">
        <v>21</v>
      </c>
      <c r="C21" s="2">
        <v>4</v>
      </c>
      <c r="D21" s="2">
        <v>0</v>
      </c>
      <c r="E21" s="2">
        <v>0</v>
      </c>
      <c r="F21" s="2">
        <v>0</v>
      </c>
      <c r="G21" s="2">
        <v>0</v>
      </c>
      <c r="H21" s="2">
        <v>3</v>
      </c>
      <c r="I21" s="2">
        <v>16</v>
      </c>
      <c r="J21" s="2">
        <v>1</v>
      </c>
      <c r="K21" s="2">
        <v>2</v>
      </c>
      <c r="L21" s="2">
        <v>0</v>
      </c>
      <c r="M21" s="2">
        <v>26</v>
      </c>
      <c r="N21" s="2">
        <v>239827100</v>
      </c>
      <c r="O21" s="2">
        <v>3</v>
      </c>
      <c r="P21" s="13">
        <f t="shared" si="0"/>
        <v>19</v>
      </c>
      <c r="Q21" s="14">
        <f t="shared" si="1"/>
        <v>4.75</v>
      </c>
      <c r="R21" s="14">
        <f t="shared" si="2"/>
        <v>0</v>
      </c>
      <c r="S21" s="14">
        <f t="shared" si="3"/>
        <v>6.5</v>
      </c>
      <c r="T21" s="15">
        <f t="shared" si="4"/>
        <v>15</v>
      </c>
      <c r="U21" s="15">
        <f t="shared" si="5"/>
        <v>10</v>
      </c>
      <c r="V21" s="15">
        <f t="shared" si="6"/>
        <v>20</v>
      </c>
      <c r="W21" s="15">
        <f t="shared" si="7"/>
        <v>15</v>
      </c>
      <c r="X21" s="15">
        <f t="shared" si="8"/>
        <v>0</v>
      </c>
      <c r="Y21" s="15">
        <f t="shared" si="9"/>
        <v>10</v>
      </c>
      <c r="Z21" s="15">
        <f t="shared" si="10"/>
        <v>0</v>
      </c>
      <c r="AA21" s="16">
        <f t="shared" si="11"/>
        <v>70</v>
      </c>
      <c r="AB21" s="16" t="str">
        <f t="shared" si="12"/>
        <v>Green</v>
      </c>
    </row>
    <row r="22" spans="1:28" ht="33" customHeight="1" thickBot="1" x14ac:dyDescent="0.35">
      <c r="A22" t="s">
        <v>24</v>
      </c>
      <c r="C22" s="1">
        <v>4</v>
      </c>
      <c r="D22" s="1">
        <v>0</v>
      </c>
      <c r="E22" s="1">
        <v>0</v>
      </c>
      <c r="F22" s="1">
        <v>0</v>
      </c>
      <c r="G22" s="1">
        <v>0</v>
      </c>
      <c r="H22" s="1">
        <v>6</v>
      </c>
      <c r="I22" s="1">
        <v>4</v>
      </c>
      <c r="J22" s="1">
        <v>4</v>
      </c>
      <c r="K22" s="1">
        <v>8</v>
      </c>
      <c r="L22" s="1">
        <v>0</v>
      </c>
      <c r="M22" s="1">
        <v>18</v>
      </c>
      <c r="N22" s="1">
        <v>1115100</v>
      </c>
      <c r="O22" s="1">
        <v>4</v>
      </c>
      <c r="P22" s="13">
        <f t="shared" si="0"/>
        <v>10</v>
      </c>
      <c r="Q22" s="14">
        <f t="shared" si="1"/>
        <v>2.5</v>
      </c>
      <c r="R22" s="14">
        <f t="shared" si="2"/>
        <v>0</v>
      </c>
      <c r="S22" s="14">
        <f t="shared" si="3"/>
        <v>4.5</v>
      </c>
      <c r="T22" s="15">
        <f t="shared" si="4"/>
        <v>15</v>
      </c>
      <c r="U22" s="15">
        <f t="shared" si="5"/>
        <v>10</v>
      </c>
      <c r="V22" s="15">
        <f t="shared" si="6"/>
        <v>20</v>
      </c>
      <c r="W22" s="15">
        <f t="shared" si="7"/>
        <v>0</v>
      </c>
      <c r="X22" s="15">
        <f t="shared" si="8"/>
        <v>0</v>
      </c>
      <c r="Y22" s="15">
        <f t="shared" si="9"/>
        <v>10</v>
      </c>
      <c r="Z22" s="15">
        <f t="shared" si="10"/>
        <v>0</v>
      </c>
      <c r="AA22" s="16">
        <f t="shared" si="11"/>
        <v>55</v>
      </c>
      <c r="AB22" s="16" t="str">
        <f t="shared" si="12"/>
        <v>Amber</v>
      </c>
    </row>
    <row r="23" spans="1:28" ht="33" customHeight="1" thickBot="1" x14ac:dyDescent="0.35">
      <c r="A23" t="s">
        <v>23</v>
      </c>
      <c r="C23" s="2">
        <v>4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13</v>
      </c>
      <c r="K23" s="2">
        <v>6</v>
      </c>
      <c r="L23" s="2">
        <v>0</v>
      </c>
      <c r="M23" s="2">
        <v>4</v>
      </c>
      <c r="N23" s="2">
        <v>903200</v>
      </c>
      <c r="O23" s="2">
        <v>8</v>
      </c>
      <c r="P23" s="13">
        <f t="shared" si="0"/>
        <v>2</v>
      </c>
      <c r="Q23" s="14">
        <f t="shared" si="1"/>
        <v>0.5</v>
      </c>
      <c r="R23" s="14">
        <f t="shared" si="2"/>
        <v>0</v>
      </c>
      <c r="S23" s="14">
        <f t="shared" si="3"/>
        <v>1</v>
      </c>
      <c r="T23" s="15">
        <f t="shared" si="4"/>
        <v>15</v>
      </c>
      <c r="U23" s="15">
        <f t="shared" si="5"/>
        <v>10</v>
      </c>
      <c r="V23" s="15">
        <f t="shared" si="6"/>
        <v>5</v>
      </c>
      <c r="W23" s="15">
        <f t="shared" si="7"/>
        <v>0</v>
      </c>
      <c r="X23" s="15">
        <f t="shared" si="8"/>
        <v>0</v>
      </c>
      <c r="Y23" s="15">
        <f t="shared" si="9"/>
        <v>5</v>
      </c>
      <c r="Z23" s="15">
        <f t="shared" si="10"/>
        <v>0</v>
      </c>
      <c r="AA23" s="16">
        <f t="shared" si="11"/>
        <v>35</v>
      </c>
      <c r="AB23" s="16" t="str">
        <f t="shared" si="12"/>
        <v>Red</v>
      </c>
    </row>
    <row r="24" spans="1:28" ht="33" customHeight="1" thickBot="1" x14ac:dyDescent="0.35">
      <c r="A24" t="s">
        <v>7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5</v>
      </c>
      <c r="I24" s="1">
        <v>2</v>
      </c>
      <c r="J24" s="1">
        <v>0</v>
      </c>
      <c r="K24" s="1">
        <v>1</v>
      </c>
      <c r="L24" s="1">
        <v>1</v>
      </c>
      <c r="M24" s="1">
        <v>10</v>
      </c>
      <c r="N24" s="1">
        <v>1210000</v>
      </c>
      <c r="O24" s="1">
        <v>3</v>
      </c>
      <c r="P24" s="13">
        <f t="shared" si="0"/>
        <v>7</v>
      </c>
      <c r="Q24" s="14">
        <f t="shared" si="1"/>
        <v>1.75</v>
      </c>
      <c r="R24" s="14">
        <f t="shared" si="2"/>
        <v>0.25</v>
      </c>
      <c r="S24" s="14">
        <f t="shared" si="3"/>
        <v>2.5</v>
      </c>
      <c r="T24" s="15">
        <f t="shared" si="4"/>
        <v>15</v>
      </c>
      <c r="U24" s="15">
        <f t="shared" si="5"/>
        <v>10</v>
      </c>
      <c r="V24" s="15">
        <f t="shared" si="6"/>
        <v>20</v>
      </c>
      <c r="W24" s="15">
        <f t="shared" si="7"/>
        <v>0</v>
      </c>
      <c r="X24" s="15">
        <f t="shared" si="8"/>
        <v>10</v>
      </c>
      <c r="Y24" s="15">
        <f t="shared" si="9"/>
        <v>10</v>
      </c>
      <c r="Z24" s="15">
        <f t="shared" si="10"/>
        <v>0</v>
      </c>
      <c r="AA24" s="16">
        <f t="shared" si="11"/>
        <v>65</v>
      </c>
      <c r="AB24" s="16" t="str">
        <f t="shared" si="12"/>
        <v>Amber</v>
      </c>
    </row>
    <row r="25" spans="1:28" ht="33" customHeight="1" thickBot="1" x14ac:dyDescent="0.35">
      <c r="A25" t="s">
        <v>8</v>
      </c>
      <c r="C25" s="2">
        <v>2</v>
      </c>
      <c r="D25" s="2">
        <v>1</v>
      </c>
      <c r="E25" s="2">
        <v>1</v>
      </c>
      <c r="F25" s="2">
        <v>0</v>
      </c>
      <c r="G25" s="2">
        <v>0</v>
      </c>
      <c r="H25" s="2">
        <v>6</v>
      </c>
      <c r="I25" s="2">
        <v>5</v>
      </c>
      <c r="J25" s="2">
        <v>2</v>
      </c>
      <c r="K25" s="2">
        <v>9</v>
      </c>
      <c r="L25" s="2">
        <v>0</v>
      </c>
      <c r="M25" s="2">
        <v>5</v>
      </c>
      <c r="N25" s="2">
        <v>17510000</v>
      </c>
      <c r="O25" s="2">
        <v>0</v>
      </c>
      <c r="P25" s="13">
        <f t="shared" si="0"/>
        <v>11</v>
      </c>
      <c r="Q25" s="14">
        <f t="shared" si="1"/>
        <v>2.75</v>
      </c>
      <c r="R25" s="14">
        <f t="shared" si="2"/>
        <v>0</v>
      </c>
      <c r="S25" s="14">
        <f t="shared" si="3"/>
        <v>1.25</v>
      </c>
      <c r="T25" s="15">
        <f t="shared" si="4"/>
        <v>10</v>
      </c>
      <c r="U25" s="15">
        <f t="shared" si="5"/>
        <v>5</v>
      </c>
      <c r="V25" s="15">
        <f t="shared" si="6"/>
        <v>20</v>
      </c>
      <c r="W25" s="15">
        <f t="shared" si="7"/>
        <v>0</v>
      </c>
      <c r="X25" s="15">
        <f t="shared" si="8"/>
        <v>0</v>
      </c>
      <c r="Y25" s="15">
        <f t="shared" si="9"/>
        <v>5</v>
      </c>
      <c r="Z25" s="15">
        <f t="shared" si="10"/>
        <v>0</v>
      </c>
      <c r="AA25" s="16">
        <f t="shared" si="11"/>
        <v>40</v>
      </c>
      <c r="AB25" s="16" t="str">
        <f t="shared" si="12"/>
        <v>Red</v>
      </c>
    </row>
    <row r="26" spans="1:28" ht="33" customHeight="1" thickBot="1" x14ac:dyDescent="0.35">
      <c r="A26" t="s">
        <v>6</v>
      </c>
      <c r="C26" s="2">
        <v>3</v>
      </c>
      <c r="D26" s="2">
        <v>0</v>
      </c>
      <c r="E26" s="2">
        <v>1</v>
      </c>
      <c r="F26" s="2">
        <v>0</v>
      </c>
      <c r="G26" s="2">
        <v>0</v>
      </c>
      <c r="H26" s="2">
        <v>1</v>
      </c>
      <c r="I26" s="2">
        <v>7</v>
      </c>
      <c r="J26" s="2">
        <v>4</v>
      </c>
      <c r="K26" s="2">
        <v>10</v>
      </c>
      <c r="L26" s="2">
        <v>0</v>
      </c>
      <c r="M26" s="2">
        <v>19</v>
      </c>
      <c r="N26" s="2">
        <v>19850000</v>
      </c>
      <c r="O26" s="2">
        <v>15</v>
      </c>
      <c r="P26" s="13">
        <f t="shared" si="0"/>
        <v>8</v>
      </c>
      <c r="Q26" s="14">
        <f t="shared" si="1"/>
        <v>2</v>
      </c>
      <c r="R26" s="14">
        <f t="shared" si="2"/>
        <v>0</v>
      </c>
      <c r="S26" s="14">
        <f t="shared" si="3"/>
        <v>4.75</v>
      </c>
      <c r="T26" s="15">
        <f t="shared" si="4"/>
        <v>15</v>
      </c>
      <c r="U26" s="15">
        <f t="shared" si="5"/>
        <v>5</v>
      </c>
      <c r="V26" s="15">
        <f t="shared" si="6"/>
        <v>20</v>
      </c>
      <c r="W26" s="15">
        <f t="shared" si="7"/>
        <v>0</v>
      </c>
      <c r="X26" s="15">
        <f t="shared" si="8"/>
        <v>0</v>
      </c>
      <c r="Y26" s="15">
        <f t="shared" si="9"/>
        <v>10</v>
      </c>
      <c r="Z26" s="15">
        <f t="shared" si="10"/>
        <v>5</v>
      </c>
      <c r="AA26" s="16">
        <f t="shared" si="11"/>
        <v>55</v>
      </c>
      <c r="AB26" s="16" t="str">
        <f t="shared" si="12"/>
        <v>Amber</v>
      </c>
    </row>
    <row r="27" spans="1:28" ht="33" customHeight="1" thickBot="1" x14ac:dyDescent="0.35">
      <c r="A27" t="s">
        <v>1</v>
      </c>
      <c r="C27" s="1">
        <v>3</v>
      </c>
      <c r="D27" s="1">
        <v>0</v>
      </c>
      <c r="E27" s="1">
        <v>1</v>
      </c>
      <c r="F27" s="1">
        <v>0</v>
      </c>
      <c r="G27" s="1">
        <v>0</v>
      </c>
      <c r="H27" s="1">
        <v>1</v>
      </c>
      <c r="I27" s="1">
        <v>14</v>
      </c>
      <c r="J27" s="1">
        <v>1</v>
      </c>
      <c r="K27" s="1">
        <v>7</v>
      </c>
      <c r="L27" s="1">
        <v>0</v>
      </c>
      <c r="M27" s="1">
        <v>8</v>
      </c>
      <c r="N27" s="1">
        <v>6430000</v>
      </c>
      <c r="O27" s="1">
        <v>10</v>
      </c>
      <c r="P27" s="13">
        <f t="shared" si="0"/>
        <v>15</v>
      </c>
      <c r="Q27" s="14">
        <f t="shared" si="1"/>
        <v>3.75</v>
      </c>
      <c r="R27" s="14">
        <f t="shared" si="2"/>
        <v>0</v>
      </c>
      <c r="S27" s="14">
        <f t="shared" si="3"/>
        <v>2</v>
      </c>
      <c r="T27" s="15">
        <f t="shared" si="4"/>
        <v>15</v>
      </c>
      <c r="U27" s="15">
        <f t="shared" si="5"/>
        <v>5</v>
      </c>
      <c r="V27" s="15">
        <f t="shared" si="6"/>
        <v>20</v>
      </c>
      <c r="W27" s="15">
        <f t="shared" si="7"/>
        <v>0</v>
      </c>
      <c r="X27" s="15">
        <f t="shared" si="8"/>
        <v>0</v>
      </c>
      <c r="Y27" s="15">
        <f t="shared" si="9"/>
        <v>10</v>
      </c>
      <c r="Z27" s="15">
        <f t="shared" si="10"/>
        <v>5</v>
      </c>
      <c r="AA27" s="16">
        <f t="shared" si="11"/>
        <v>55</v>
      </c>
      <c r="AB27" s="16" t="str">
        <f t="shared" si="12"/>
        <v>Amber</v>
      </c>
    </row>
    <row r="28" spans="1:28" ht="33" customHeight="1" thickBot="1" x14ac:dyDescent="0.35">
      <c r="A28" t="s">
        <v>2</v>
      </c>
      <c r="C28" s="2">
        <v>4</v>
      </c>
      <c r="D28" s="2">
        <v>0</v>
      </c>
      <c r="E28" s="2">
        <v>0</v>
      </c>
      <c r="F28" s="2">
        <v>0</v>
      </c>
      <c r="G28" s="2">
        <v>0</v>
      </c>
      <c r="H28" s="2">
        <v>2</v>
      </c>
      <c r="I28" s="2">
        <v>6</v>
      </c>
      <c r="J28" s="2">
        <v>0</v>
      </c>
      <c r="K28" s="2">
        <v>28</v>
      </c>
      <c r="L28" s="2">
        <v>1</v>
      </c>
      <c r="M28" s="2">
        <v>15</v>
      </c>
      <c r="N28" s="2">
        <v>10787500</v>
      </c>
      <c r="O28" s="2">
        <v>12</v>
      </c>
      <c r="P28" s="13">
        <f t="shared" si="0"/>
        <v>8</v>
      </c>
      <c r="Q28" s="14">
        <f t="shared" si="1"/>
        <v>2</v>
      </c>
      <c r="R28" s="14">
        <f t="shared" si="2"/>
        <v>0.25</v>
      </c>
      <c r="S28" s="14">
        <f t="shared" si="3"/>
        <v>3.75</v>
      </c>
      <c r="T28" s="15">
        <f t="shared" si="4"/>
        <v>15</v>
      </c>
      <c r="U28" s="15">
        <f t="shared" si="5"/>
        <v>10</v>
      </c>
      <c r="V28" s="15">
        <f t="shared" si="6"/>
        <v>20</v>
      </c>
      <c r="W28" s="15">
        <f t="shared" si="7"/>
        <v>0</v>
      </c>
      <c r="X28" s="15">
        <f t="shared" si="8"/>
        <v>10</v>
      </c>
      <c r="Y28" s="15">
        <f t="shared" si="9"/>
        <v>10</v>
      </c>
      <c r="Z28" s="15">
        <f t="shared" si="10"/>
        <v>5</v>
      </c>
      <c r="AA28" s="16">
        <f t="shared" si="11"/>
        <v>70</v>
      </c>
      <c r="AB28" s="16" t="str">
        <f t="shared" si="12"/>
        <v>Green</v>
      </c>
    </row>
    <row r="29" spans="1:28" ht="33" customHeight="1" thickBot="1" x14ac:dyDescent="0.35">
      <c r="A29" t="s">
        <v>3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2</v>
      </c>
      <c r="I29" s="1">
        <v>27</v>
      </c>
      <c r="J29" s="1">
        <v>0</v>
      </c>
      <c r="K29" s="1">
        <v>0</v>
      </c>
      <c r="L29" s="1">
        <v>0</v>
      </c>
      <c r="M29" s="1">
        <v>9</v>
      </c>
      <c r="N29" s="1">
        <v>677000</v>
      </c>
      <c r="O29" s="1">
        <v>1</v>
      </c>
      <c r="P29" s="13">
        <f t="shared" si="0"/>
        <v>29</v>
      </c>
      <c r="Q29" s="14">
        <f t="shared" si="1"/>
        <v>7.25</v>
      </c>
      <c r="R29" s="14">
        <f t="shared" si="2"/>
        <v>0</v>
      </c>
      <c r="S29" s="14">
        <f t="shared" si="3"/>
        <v>2.25</v>
      </c>
      <c r="T29" s="15">
        <f t="shared" si="4"/>
        <v>15</v>
      </c>
      <c r="U29" s="15">
        <f t="shared" si="5"/>
        <v>10</v>
      </c>
      <c r="V29" s="15">
        <f t="shared" si="6"/>
        <v>20</v>
      </c>
      <c r="W29" s="15">
        <f t="shared" si="7"/>
        <v>0</v>
      </c>
      <c r="X29" s="15">
        <f t="shared" si="8"/>
        <v>0</v>
      </c>
      <c r="Y29" s="15">
        <f t="shared" si="9"/>
        <v>10</v>
      </c>
      <c r="Z29" s="15">
        <f t="shared" si="10"/>
        <v>0</v>
      </c>
      <c r="AA29" s="16">
        <f t="shared" si="11"/>
        <v>55</v>
      </c>
      <c r="AB29" s="16" t="str">
        <f t="shared" si="12"/>
        <v>Amber</v>
      </c>
    </row>
    <row r="30" spans="1:28" ht="33" customHeight="1" thickBot="1" x14ac:dyDescent="0.35">
      <c r="A30" t="s">
        <v>4</v>
      </c>
      <c r="C30" s="2">
        <v>4</v>
      </c>
      <c r="D30" s="2">
        <v>0</v>
      </c>
      <c r="E30" s="2">
        <v>0</v>
      </c>
      <c r="F30" s="2">
        <v>0</v>
      </c>
      <c r="G30" s="2">
        <v>0</v>
      </c>
      <c r="H30" s="2">
        <v>8</v>
      </c>
      <c r="I30" s="2">
        <v>13</v>
      </c>
      <c r="J30" s="2">
        <v>0</v>
      </c>
      <c r="K30" s="2">
        <v>1</v>
      </c>
      <c r="L30" s="2">
        <v>0</v>
      </c>
      <c r="M30" s="2">
        <v>5</v>
      </c>
      <c r="N30" s="2">
        <v>390700</v>
      </c>
      <c r="O30" s="2">
        <v>5</v>
      </c>
      <c r="P30" s="13">
        <f t="shared" si="0"/>
        <v>21</v>
      </c>
      <c r="Q30" s="14">
        <f t="shared" si="1"/>
        <v>5.25</v>
      </c>
      <c r="R30" s="14">
        <f t="shared" si="2"/>
        <v>0</v>
      </c>
      <c r="S30" s="14">
        <f t="shared" si="3"/>
        <v>1.25</v>
      </c>
      <c r="T30" s="15">
        <f t="shared" si="4"/>
        <v>15</v>
      </c>
      <c r="U30" s="15">
        <f t="shared" si="5"/>
        <v>10</v>
      </c>
      <c r="V30" s="15">
        <f t="shared" si="6"/>
        <v>20</v>
      </c>
      <c r="W30" s="15">
        <f t="shared" si="7"/>
        <v>0</v>
      </c>
      <c r="X30" s="15">
        <f t="shared" si="8"/>
        <v>0</v>
      </c>
      <c r="Y30" s="15">
        <f t="shared" si="9"/>
        <v>5</v>
      </c>
      <c r="Z30" s="15">
        <f t="shared" si="10"/>
        <v>0</v>
      </c>
      <c r="AA30" s="16">
        <f t="shared" si="11"/>
        <v>50</v>
      </c>
      <c r="AB30" s="16" t="str">
        <f t="shared" si="12"/>
        <v>Amber</v>
      </c>
    </row>
    <row r="31" spans="1:28" ht="33" customHeight="1" thickBot="1" x14ac:dyDescent="0.35">
      <c r="A31" t="s">
        <v>5</v>
      </c>
      <c r="C31" s="1">
        <v>4</v>
      </c>
      <c r="D31" s="1">
        <v>0</v>
      </c>
      <c r="E31" s="1">
        <v>0</v>
      </c>
      <c r="F31" s="1">
        <v>0</v>
      </c>
      <c r="G31" s="1">
        <v>0</v>
      </c>
      <c r="H31" s="1">
        <v>6</v>
      </c>
      <c r="I31" s="1">
        <v>4</v>
      </c>
      <c r="J31" s="1">
        <v>5</v>
      </c>
      <c r="K31" s="1">
        <v>5</v>
      </c>
      <c r="L31" s="1">
        <v>0</v>
      </c>
      <c r="M31" s="1">
        <v>13</v>
      </c>
      <c r="N31" s="1">
        <v>235000</v>
      </c>
      <c r="O31" s="1">
        <v>11</v>
      </c>
      <c r="P31" s="13">
        <f t="shared" si="0"/>
        <v>10</v>
      </c>
      <c r="Q31" s="14">
        <f t="shared" si="1"/>
        <v>2.5</v>
      </c>
      <c r="R31" s="14">
        <f t="shared" si="2"/>
        <v>0</v>
      </c>
      <c r="S31" s="14">
        <f t="shared" si="3"/>
        <v>3.25</v>
      </c>
      <c r="T31" s="15">
        <f t="shared" si="4"/>
        <v>15</v>
      </c>
      <c r="U31" s="15">
        <f t="shared" si="5"/>
        <v>10</v>
      </c>
      <c r="V31" s="15">
        <f t="shared" si="6"/>
        <v>20</v>
      </c>
      <c r="W31" s="15">
        <f t="shared" si="7"/>
        <v>0</v>
      </c>
      <c r="X31" s="15">
        <f t="shared" si="8"/>
        <v>0</v>
      </c>
      <c r="Y31" s="15">
        <f t="shared" si="9"/>
        <v>10</v>
      </c>
      <c r="Z31" s="15">
        <f t="shared" si="10"/>
        <v>5</v>
      </c>
      <c r="AA31" s="16">
        <f t="shared" si="11"/>
        <v>60</v>
      </c>
      <c r="AB31" s="16" t="str">
        <f t="shared" si="12"/>
        <v>Amber</v>
      </c>
    </row>
  </sheetData>
  <autoFilter ref="A2:AB2" xr:uid="{BF5A0B76-88A2-4A67-A063-A6D278EB63C9}">
    <sortState xmlns:xlrd2="http://schemas.microsoft.com/office/spreadsheetml/2017/richdata2" ref="A3:AB31">
      <sortCondition ref="A2"/>
    </sortState>
  </autoFilter>
  <phoneticPr fontId="5" type="noConversion"/>
  <conditionalFormatting sqref="AA3:AA31">
    <cfRule type="iconSet" priority="4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5CC9-DEFF-4103-B19C-53E79EB828CC}">
  <dimension ref="A1:AB38"/>
  <sheetViews>
    <sheetView workbookViewId="0">
      <selection sqref="A1:XFD1048576"/>
    </sheetView>
  </sheetViews>
  <sheetFormatPr defaultRowHeight="16.5" x14ac:dyDescent="0.3"/>
  <cols>
    <col min="1" max="1" width="10.75" customWidth="1"/>
    <col min="2" max="2" width="6.375" customWidth="1"/>
    <col min="3" max="13" width="4.875" customWidth="1"/>
    <col min="15" max="15" width="4.875" customWidth="1"/>
    <col min="16" max="26" width="5.125" customWidth="1"/>
  </cols>
  <sheetData>
    <row r="1" spans="1:28" x14ac:dyDescent="0.3">
      <c r="A1" s="17" t="s">
        <v>61</v>
      </c>
      <c r="B1" s="17"/>
    </row>
    <row r="2" spans="1:28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8" ht="17.25" thickBot="1" x14ac:dyDescent="0.35">
      <c r="A3" t="s">
        <v>67</v>
      </c>
      <c r="C3" s="2">
        <v>3</v>
      </c>
      <c r="D3" s="2">
        <v>0</v>
      </c>
      <c r="E3" s="2">
        <v>0</v>
      </c>
      <c r="F3" s="2">
        <v>0</v>
      </c>
      <c r="G3" s="2">
        <v>1</v>
      </c>
      <c r="H3" s="2">
        <v>1</v>
      </c>
      <c r="I3" s="2">
        <v>0</v>
      </c>
      <c r="J3" s="2">
        <v>3</v>
      </c>
      <c r="K3" s="2">
        <v>9</v>
      </c>
      <c r="L3" s="27">
        <v>4</v>
      </c>
      <c r="M3" s="2">
        <v>8</v>
      </c>
      <c r="N3" s="2">
        <v>6400000</v>
      </c>
      <c r="O3" s="2">
        <v>6</v>
      </c>
      <c r="P3" s="13">
        <f>H3+I3</f>
        <v>1</v>
      </c>
      <c r="Q3" s="14">
        <f>P3/(C3+D3+E3+F3+G3)</f>
        <v>0.25</v>
      </c>
      <c r="R3" s="14">
        <f>L3/(C3+D3+E3+F3+G3)</f>
        <v>1</v>
      </c>
      <c r="S3" s="14">
        <f>M3/(C3+D3+E3+F3+G3)</f>
        <v>2</v>
      </c>
      <c r="T3" s="15">
        <f>IF(D3&gt;2,0,IF(D3=2,5,IF(D3=1,10,IF(D3&lt;1,15))))</f>
        <v>15</v>
      </c>
      <c r="U3" s="15">
        <f>IF(E3&gt;=2,0,IF(E3=1,5,IF(E3=0,10)))</f>
        <v>10</v>
      </c>
      <c r="V3" s="15">
        <f>IF(Q3&lt;0.5,0,IF(Q3&lt;0.75,5,IF(Q3&lt;1,10,IF(Q3&lt;1.2,15,IF(Q3&gt;=1.2,20)))))</f>
        <v>0</v>
      </c>
      <c r="W3" s="15">
        <f>IF(N3&lt;25000000,0,IF(N3&lt;50000000,5,IF(N3&lt;100000000,10,IF(N3&gt;=100000000,15))))</f>
        <v>0</v>
      </c>
      <c r="X3" s="15">
        <f>IF(R3&lt;0.1,0,IF(R3&lt;0.2,5,IF(R3&lt;0.4,10,IF(R3&lt;0.6,15,IF(R3&gt;=0.6,20)))))</f>
        <v>20</v>
      </c>
      <c r="Y3" s="15">
        <f>IF(S3&lt;1,0,IF(S3&lt;2,5,IF(S3&gt;=2,10)))</f>
        <v>10</v>
      </c>
      <c r="Z3" s="15">
        <f>IF(O3&lt;10,0,IF(O3&lt;20,5,IF(O3&gt;=20,10)))</f>
        <v>0</v>
      </c>
      <c r="AA3" s="16">
        <f>SUM(T3:Z3)</f>
        <v>55</v>
      </c>
      <c r="AB3" s="16" t="str">
        <f>IF(AA3&lt;30,"Grey",IF(AA3&lt;50,"Red",IF(AA3&lt;70,"Amber",IF(AA3&gt;=70,"Green"))))</f>
        <v>Amber</v>
      </c>
    </row>
    <row r="4" spans="1:28" ht="17.25" thickBot="1" x14ac:dyDescent="0.35">
      <c r="A4" t="s">
        <v>69</v>
      </c>
      <c r="C4" s="1">
        <v>3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5</v>
      </c>
      <c r="N4" s="1">
        <v>0</v>
      </c>
      <c r="O4" s="1">
        <v>0</v>
      </c>
      <c r="P4" s="13">
        <f>H4+I4</f>
        <v>0</v>
      </c>
      <c r="Q4" s="14">
        <f>P4/(C4+D4+E4+F4+G4)</f>
        <v>0</v>
      </c>
      <c r="R4" s="14">
        <f>L4/(C4+D4+E4+F4+G4)</f>
        <v>0.25</v>
      </c>
      <c r="S4" s="14">
        <f>M4/(C4+D4+E4+F4+G4)</f>
        <v>1.25</v>
      </c>
      <c r="T4" s="15">
        <f>IF(D4&gt;2,0,IF(D4=2,5,IF(D4=1,10,IF(D4&lt;1,15))))</f>
        <v>10</v>
      </c>
      <c r="U4" s="15">
        <f>IF(E4&gt;=2,0,IF(E4=1,5,IF(E4=0,10)))</f>
        <v>10</v>
      </c>
      <c r="V4" s="15">
        <f>IF(Q4&lt;0.5,0,IF(Q4&lt;0.75,5,IF(Q4&lt;1,10,IF(Q4&lt;1.2,15,IF(Q4&gt;=1.2,20)))))</f>
        <v>0</v>
      </c>
      <c r="W4" s="15">
        <f>IF(N4&lt;25000000,0,IF(N4&lt;50000000,5,IF(N4&lt;100000000,10,IF(N4&gt;=100000000,15))))</f>
        <v>0</v>
      </c>
      <c r="X4" s="15">
        <f>IF(R4&lt;0.1,0,IF(R4&lt;0.2,5,IF(R4&lt;0.4,10,IF(R4&lt;0.6,15,IF(R4&gt;=0.6,20)))))</f>
        <v>10</v>
      </c>
      <c r="Y4" s="15">
        <f>IF(S4&lt;1,0,IF(S4&lt;2,5,IF(S4&gt;=2,10)))</f>
        <v>5</v>
      </c>
      <c r="Z4" s="15">
        <f>IF(O4&lt;10,0,IF(O4&lt;20,5,IF(O4&gt;=20,10)))</f>
        <v>0</v>
      </c>
      <c r="AA4" s="16">
        <f>SUM(T4:Z4)</f>
        <v>35</v>
      </c>
      <c r="AB4" s="16" t="str">
        <f>IF(AA4&lt;30,"Grey",IF(AA4&lt;50,"Red",IF(AA4&lt;70,"Amber",IF(AA4&gt;=70,"Green"))))</f>
        <v>Red</v>
      </c>
    </row>
    <row r="5" spans="1:28" ht="17.25" thickBot="1" x14ac:dyDescent="0.35">
      <c r="A5" t="s">
        <v>17</v>
      </c>
      <c r="C5" s="2">
        <v>4</v>
      </c>
      <c r="D5" s="2">
        <v>0</v>
      </c>
      <c r="E5" s="2">
        <v>0</v>
      </c>
      <c r="F5" s="2">
        <v>0</v>
      </c>
      <c r="G5" s="2">
        <v>0</v>
      </c>
      <c r="H5" s="2">
        <v>2</v>
      </c>
      <c r="I5" s="2">
        <v>6</v>
      </c>
      <c r="J5" s="2">
        <v>0</v>
      </c>
      <c r="K5" s="2">
        <v>5</v>
      </c>
      <c r="L5" s="2">
        <v>1</v>
      </c>
      <c r="M5" s="2">
        <v>4</v>
      </c>
      <c r="N5" s="2">
        <v>6800000</v>
      </c>
      <c r="O5" s="2">
        <v>8</v>
      </c>
      <c r="P5" s="13">
        <f>H5+I5</f>
        <v>8</v>
      </c>
      <c r="Q5" s="14">
        <f>P5/(C5+D5+E5+F5+G5)</f>
        <v>2</v>
      </c>
      <c r="R5" s="14">
        <f>L5/(C5+D5+E5+F5+G5)</f>
        <v>0.25</v>
      </c>
      <c r="S5" s="14">
        <f>M5/(C5+D5+E5+F5+G5)</f>
        <v>1</v>
      </c>
      <c r="T5" s="15">
        <f>IF(D5&gt;2,0,IF(D5=2,5,IF(D5=1,10,IF(D5&lt;1,15))))</f>
        <v>15</v>
      </c>
      <c r="U5" s="15">
        <f>IF(E5&gt;=2,0,IF(E5=1,5,IF(E5=0,10)))</f>
        <v>10</v>
      </c>
      <c r="V5" s="15">
        <f>IF(Q5&lt;0.5,0,IF(Q5&lt;0.75,5,IF(Q5&lt;1,10,IF(Q5&lt;1.2,15,IF(Q5&gt;=1.2,20)))))</f>
        <v>20</v>
      </c>
      <c r="W5" s="15">
        <f>IF(N5&lt;25000000,0,IF(N5&lt;50000000,5,IF(N5&lt;100000000,10,IF(N5&gt;=100000000,15))))</f>
        <v>0</v>
      </c>
      <c r="X5" s="15">
        <f>IF(R5&lt;0.1,0,IF(R5&lt;0.2,5,IF(R5&lt;0.4,10,IF(R5&lt;0.6,15,IF(R5&gt;=0.6,20)))))</f>
        <v>10</v>
      </c>
      <c r="Y5" s="15">
        <f>IF(S5&lt;1,0,IF(S5&lt;2,5,IF(S5&gt;=2,10)))</f>
        <v>5</v>
      </c>
      <c r="Z5" s="15">
        <f>IF(O5&lt;10,0,IF(O5&lt;20,5,IF(O5&gt;=20,10)))</f>
        <v>0</v>
      </c>
      <c r="AA5" s="16">
        <f>SUM(T5:Z5)</f>
        <v>60</v>
      </c>
      <c r="AB5" s="16" t="str">
        <f>IF(AA5&lt;30,"Grey",IF(AA5&lt;50,"Red",IF(AA5&lt;70,"Amber",IF(AA5&gt;=70,"Green"))))</f>
        <v>Amber</v>
      </c>
    </row>
    <row r="6" spans="1:28" ht="17.25" thickBot="1" x14ac:dyDescent="0.35">
      <c r="A6" t="s">
        <v>15</v>
      </c>
      <c r="C6" s="2">
        <v>4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24</v>
      </c>
      <c r="J6" s="2">
        <v>1</v>
      </c>
      <c r="K6" s="2">
        <v>2</v>
      </c>
      <c r="L6" s="2">
        <v>1</v>
      </c>
      <c r="M6" s="2">
        <v>10</v>
      </c>
      <c r="N6" s="2">
        <v>1640000</v>
      </c>
      <c r="O6" s="2">
        <v>10</v>
      </c>
      <c r="P6" s="26">
        <f>H6+I6</f>
        <v>25</v>
      </c>
      <c r="Q6" s="14">
        <f>P6/(C6+D6+E6+F6+G6)</f>
        <v>6.25</v>
      </c>
      <c r="R6" s="14">
        <f>L6/(C6+D6+E6+F6+G6)</f>
        <v>0.25</v>
      </c>
      <c r="S6" s="14">
        <f>M6/(C6+D6+E6+F6+G6)</f>
        <v>2.5</v>
      </c>
      <c r="T6" s="15">
        <f>IF(D6&gt;2,0,IF(D6=2,5,IF(D6=1,10,IF(D6&lt;1,15))))</f>
        <v>15</v>
      </c>
      <c r="U6" s="15">
        <f>IF(E6&gt;=2,0,IF(E6=1,5,IF(E6=0,10)))</f>
        <v>10</v>
      </c>
      <c r="V6" s="15">
        <f>IF(Q6&lt;0.5,0,IF(Q6&lt;0.75,5,IF(Q6&lt;1,10,IF(Q6&lt;1.2,15,IF(Q6&gt;=1.2,20)))))</f>
        <v>20</v>
      </c>
      <c r="W6" s="15">
        <f>IF(N6&lt;25000000,0,IF(N6&lt;50000000,5,IF(N6&lt;100000000,10,IF(N6&gt;=100000000,15))))</f>
        <v>0</v>
      </c>
      <c r="X6" s="15">
        <f>IF(R6&lt;0.1,0,IF(R6&lt;0.2,5,IF(R6&lt;0.4,10,IF(R6&lt;0.6,15,IF(R6&gt;=0.6,20)))))</f>
        <v>10</v>
      </c>
      <c r="Y6" s="15">
        <f>IF(S6&lt;1,0,IF(S6&lt;2,5,IF(S6&gt;=2,10)))</f>
        <v>10</v>
      </c>
      <c r="Z6" s="15">
        <f>IF(O6&lt;10,0,IF(O6&lt;20,5,IF(O6&gt;=20,10)))</f>
        <v>5</v>
      </c>
      <c r="AA6" s="16">
        <f>SUM(T6:Z6)</f>
        <v>70</v>
      </c>
      <c r="AB6" s="16" t="str">
        <f>IF(AA6&lt;30,"Grey",IF(AA6&lt;50,"Red",IF(AA6&lt;70,"Amber",IF(AA6&gt;=70,"Green"))))</f>
        <v>Green</v>
      </c>
    </row>
    <row r="7" spans="1:28" ht="17.25" thickBot="1" x14ac:dyDescent="0.35">
      <c r="A7" t="s">
        <v>66</v>
      </c>
      <c r="C7" s="1">
        <v>4</v>
      </c>
      <c r="D7" s="1">
        <v>0</v>
      </c>
      <c r="E7" s="1">
        <v>0</v>
      </c>
      <c r="F7" s="1">
        <v>0</v>
      </c>
      <c r="G7" s="1">
        <v>0</v>
      </c>
      <c r="H7" s="1">
        <v>2</v>
      </c>
      <c r="I7" s="1">
        <v>1</v>
      </c>
      <c r="J7" s="1">
        <v>1</v>
      </c>
      <c r="K7" s="1">
        <v>4</v>
      </c>
      <c r="L7" s="1">
        <v>1</v>
      </c>
      <c r="M7" s="1">
        <v>6</v>
      </c>
      <c r="N7" s="1">
        <v>1081000</v>
      </c>
      <c r="O7" s="1">
        <v>1</v>
      </c>
      <c r="P7" s="13">
        <f>H7+I7</f>
        <v>3</v>
      </c>
      <c r="Q7" s="14">
        <f>P7/(C7+D7+E7+F7+G7)</f>
        <v>0.75</v>
      </c>
      <c r="R7" s="14">
        <f>L7/(C7+D7+E7+F7+G7)</f>
        <v>0.25</v>
      </c>
      <c r="S7" s="14">
        <f>M7/(C7+D7+E7+F7+G7)</f>
        <v>1.5</v>
      </c>
      <c r="T7" s="15">
        <f>IF(D7&gt;2,0,IF(D7=2,5,IF(D7=1,10,IF(D7&lt;1,15))))</f>
        <v>15</v>
      </c>
      <c r="U7" s="15">
        <f>IF(E7&gt;=2,0,IF(E7=1,5,IF(E7=0,10)))</f>
        <v>10</v>
      </c>
      <c r="V7" s="15">
        <f>IF(Q7&lt;0.5,0,IF(Q7&lt;0.75,5,IF(Q7&lt;1,10,IF(Q7&lt;1.2,15,IF(Q7&gt;=1.2,20)))))</f>
        <v>10</v>
      </c>
      <c r="W7" s="15">
        <f>IF(N7&lt;25000000,0,IF(N7&lt;50000000,5,IF(N7&lt;100000000,10,IF(N7&gt;=100000000,15))))</f>
        <v>0</v>
      </c>
      <c r="X7" s="15">
        <f>IF(R7&lt;0.1,0,IF(R7&lt;0.2,5,IF(R7&lt;0.4,10,IF(R7&lt;0.6,15,IF(R7&gt;=0.6,20)))))</f>
        <v>10</v>
      </c>
      <c r="Y7" s="15">
        <f>IF(S7&lt;1,0,IF(S7&lt;2,5,IF(S7&gt;=2,10)))</f>
        <v>5</v>
      </c>
      <c r="Z7" s="15">
        <f>IF(O7&lt;10,0,IF(O7&lt;20,5,IF(O7&gt;=20,10)))</f>
        <v>0</v>
      </c>
      <c r="AA7" s="16">
        <f>SUM(T7:Z7)</f>
        <v>50</v>
      </c>
      <c r="AB7" s="16" t="str">
        <f>IF(AA7&lt;30,"Grey",IF(AA7&lt;50,"Red",IF(AA7&lt;70,"Amber",IF(AA7&gt;=70,"Green"))))</f>
        <v>Amber</v>
      </c>
    </row>
    <row r="8" spans="1:28" ht="17.25" thickBot="1" x14ac:dyDescent="0.35">
      <c r="A8" t="s">
        <v>9</v>
      </c>
      <c r="C8" s="1">
        <v>4</v>
      </c>
      <c r="D8" s="1">
        <v>0</v>
      </c>
      <c r="E8" s="1">
        <v>0</v>
      </c>
      <c r="F8" s="1">
        <v>0</v>
      </c>
      <c r="G8" s="1">
        <v>0</v>
      </c>
      <c r="H8" s="1">
        <v>2</v>
      </c>
      <c r="I8" s="1">
        <v>4</v>
      </c>
      <c r="J8" s="1">
        <v>6</v>
      </c>
      <c r="K8" s="1">
        <v>6</v>
      </c>
      <c r="L8" s="1">
        <v>0</v>
      </c>
      <c r="M8" s="1">
        <v>3</v>
      </c>
      <c r="N8" s="1">
        <v>2000000</v>
      </c>
      <c r="O8" s="1">
        <v>6</v>
      </c>
      <c r="P8" s="13">
        <f>H8+I8</f>
        <v>6</v>
      </c>
      <c r="Q8" s="14">
        <f>P8/(C8+D8+E8+F8+G8)</f>
        <v>1.5</v>
      </c>
      <c r="R8" s="14">
        <f>L8/(C8+D8+E8+F8+G8)</f>
        <v>0</v>
      </c>
      <c r="S8" s="14">
        <f>M8/(C8+D8+E8+F8+G8)</f>
        <v>0.75</v>
      </c>
      <c r="T8" s="15">
        <f>IF(D8&gt;2,0,IF(D8=2,5,IF(D8=1,10,IF(D8&lt;1,15))))</f>
        <v>15</v>
      </c>
      <c r="U8" s="15">
        <f>IF(E8&gt;=2,0,IF(E8=1,5,IF(E8=0,10)))</f>
        <v>10</v>
      </c>
      <c r="V8" s="15">
        <f>IF(Q8&lt;0.5,0,IF(Q8&lt;0.75,5,IF(Q8&lt;1,10,IF(Q8&lt;1.2,15,IF(Q8&gt;=1.2,20)))))</f>
        <v>20</v>
      </c>
      <c r="W8" s="15">
        <f>IF(N8&lt;25000000,0,IF(N8&lt;50000000,5,IF(N8&lt;100000000,10,IF(N8&gt;=100000000,15))))</f>
        <v>0</v>
      </c>
      <c r="X8" s="15">
        <f>IF(R8&lt;0.1,0,IF(R8&lt;0.2,5,IF(R8&lt;0.4,10,IF(R8&lt;0.6,15,IF(R8&gt;=0.6,20)))))</f>
        <v>0</v>
      </c>
      <c r="Y8" s="15">
        <f>IF(S8&lt;1,0,IF(S8&lt;2,5,IF(S8&gt;=2,10)))</f>
        <v>0</v>
      </c>
      <c r="Z8" s="15">
        <f>IF(O8&lt;10,0,IF(O8&lt;20,5,IF(O8&gt;=20,10)))</f>
        <v>0</v>
      </c>
      <c r="AA8" s="16">
        <f>SUM(T8:Z8)</f>
        <v>45</v>
      </c>
      <c r="AB8" s="16" t="str">
        <f>IF(AA8&lt;30,"Grey",IF(AA8&lt;50,"Red",IF(AA8&lt;70,"Amber",IF(AA8&gt;=70,"Green"))))</f>
        <v>Red</v>
      </c>
    </row>
    <row r="9" spans="1:28" ht="17.25" thickBot="1" x14ac:dyDescent="0.35">
      <c r="A9" t="s">
        <v>13</v>
      </c>
      <c r="C9" s="1">
        <v>3</v>
      </c>
      <c r="D9" s="1">
        <v>1</v>
      </c>
      <c r="E9" s="1">
        <v>0</v>
      </c>
      <c r="F9" s="1">
        <v>0</v>
      </c>
      <c r="G9" s="1">
        <v>0</v>
      </c>
      <c r="H9" s="1">
        <v>3</v>
      </c>
      <c r="I9" s="1">
        <v>1</v>
      </c>
      <c r="J9" s="1">
        <v>12</v>
      </c>
      <c r="K9" s="1">
        <v>38</v>
      </c>
      <c r="L9" s="1">
        <v>1</v>
      </c>
      <c r="M9" s="1">
        <v>3</v>
      </c>
      <c r="N9" s="27">
        <v>32556000</v>
      </c>
      <c r="O9" s="1">
        <v>5</v>
      </c>
      <c r="P9" s="13">
        <f>H9+I9</f>
        <v>4</v>
      </c>
      <c r="Q9" s="14">
        <f>P9/(C9+D9+E9+F9+G9)</f>
        <v>1</v>
      </c>
      <c r="R9" s="14">
        <f>L9/(C9+D9+E9+F9+G9)</f>
        <v>0.25</v>
      </c>
      <c r="S9" s="14">
        <f>M9/(C9+D9+E9+F9+G9)</f>
        <v>0.75</v>
      </c>
      <c r="T9" s="15">
        <f>IF(D9&gt;2,0,IF(D9=2,5,IF(D9=1,10,IF(D9&lt;1,15))))</f>
        <v>10</v>
      </c>
      <c r="U9" s="15">
        <f>IF(E9&gt;=2,0,IF(E9=1,5,IF(E9=0,10)))</f>
        <v>10</v>
      </c>
      <c r="V9" s="15">
        <f>IF(Q9&lt;0.5,0,IF(Q9&lt;0.75,5,IF(Q9&lt;1,10,IF(Q9&lt;1.2,15,IF(Q9&gt;=1.2,20)))))</f>
        <v>15</v>
      </c>
      <c r="W9" s="15">
        <f>IF(N9&lt;25000000,0,IF(N9&lt;50000000,5,IF(N9&lt;100000000,10,IF(N9&gt;=100000000,15))))</f>
        <v>5</v>
      </c>
      <c r="X9" s="15">
        <f>IF(R9&lt;0.1,0,IF(R9&lt;0.2,5,IF(R9&lt;0.4,10,IF(R9&lt;0.6,15,IF(R9&gt;=0.6,20)))))</f>
        <v>10</v>
      </c>
      <c r="Y9" s="15">
        <f>IF(S9&lt;1,0,IF(S9&lt;2,5,IF(S9&gt;=2,10)))</f>
        <v>0</v>
      </c>
      <c r="Z9" s="15">
        <f>IF(O9&lt;10,0,IF(O9&lt;20,5,IF(O9&gt;=20,10)))</f>
        <v>0</v>
      </c>
      <c r="AA9" s="16">
        <f>SUM(T9:Z9)</f>
        <v>50</v>
      </c>
      <c r="AB9" s="16" t="str">
        <f>IF(AA9&lt;30,"Grey",IF(AA9&lt;50,"Red",IF(AA9&lt;70,"Amber",IF(AA9&gt;=70,"Green"))))</f>
        <v>Amber</v>
      </c>
    </row>
    <row r="10" spans="1:28" ht="17.25" thickBot="1" x14ac:dyDescent="0.35">
      <c r="A10" t="s">
        <v>65</v>
      </c>
      <c r="C10" s="2">
        <v>4</v>
      </c>
      <c r="D10" s="2">
        <v>0</v>
      </c>
      <c r="E10" s="2">
        <v>0</v>
      </c>
      <c r="F10" s="2">
        <v>0</v>
      </c>
      <c r="G10" s="2">
        <v>0</v>
      </c>
      <c r="H10" s="2">
        <v>2</v>
      </c>
      <c r="I10" s="2">
        <v>2</v>
      </c>
      <c r="J10" s="2">
        <v>0</v>
      </c>
      <c r="K10" s="2">
        <v>2</v>
      </c>
      <c r="L10" s="2">
        <v>1</v>
      </c>
      <c r="M10" s="2">
        <v>1</v>
      </c>
      <c r="N10" s="2">
        <v>630000</v>
      </c>
      <c r="O10" s="2">
        <v>0</v>
      </c>
      <c r="P10" s="13">
        <f>H10+I10</f>
        <v>4</v>
      </c>
      <c r="Q10" s="14">
        <f>P10/(C10+D10+E10+F10+G10)</f>
        <v>1</v>
      </c>
      <c r="R10" s="14">
        <f>L10/(C10+D10+E10+F10+G10)</f>
        <v>0.25</v>
      </c>
      <c r="S10" s="14">
        <f>M10/(C10+D10+E10+F10+G10)</f>
        <v>0.25</v>
      </c>
      <c r="T10" s="15">
        <f>IF(D10&gt;2,0,IF(D10=2,5,IF(D10=1,10,IF(D10&lt;1,15))))</f>
        <v>15</v>
      </c>
      <c r="U10" s="15">
        <f>IF(E10&gt;=2,0,IF(E10=1,5,IF(E10=0,10)))</f>
        <v>10</v>
      </c>
      <c r="V10" s="15">
        <f>IF(Q10&lt;0.5,0,IF(Q10&lt;0.75,5,IF(Q10&lt;1,10,IF(Q10&lt;1.2,15,IF(Q10&gt;=1.2,20)))))</f>
        <v>15</v>
      </c>
      <c r="W10" s="15">
        <f>IF(N10&lt;25000000,0,IF(N10&lt;50000000,5,IF(N10&lt;100000000,10,IF(N10&gt;=100000000,15))))</f>
        <v>0</v>
      </c>
      <c r="X10" s="15">
        <f>IF(R10&lt;0.1,0,IF(R10&lt;0.2,5,IF(R10&lt;0.4,10,IF(R10&lt;0.6,15,IF(R10&gt;=0.6,20)))))</f>
        <v>10</v>
      </c>
      <c r="Y10" s="15">
        <f>IF(S10&lt;1,0,IF(S10&lt;2,5,IF(S10&gt;=2,10)))</f>
        <v>0</v>
      </c>
      <c r="Z10" s="15">
        <f>IF(O10&lt;10,0,IF(O10&lt;20,5,IF(O10&gt;=20,10)))</f>
        <v>0</v>
      </c>
      <c r="AA10" s="16">
        <f>SUM(T10:Z10)</f>
        <v>50</v>
      </c>
      <c r="AB10" s="16" t="str">
        <f>IF(AA10&lt;30,"Grey",IF(AA10&lt;50,"Red",IF(AA10&lt;70,"Amber",IF(AA10&gt;=70,"Green"))))</f>
        <v>Amber</v>
      </c>
    </row>
    <row r="11" spans="1:28" ht="17.25" thickBot="1" x14ac:dyDescent="0.35">
      <c r="A11" t="s">
        <v>12</v>
      </c>
      <c r="C11" s="2">
        <v>3</v>
      </c>
      <c r="D11" s="2">
        <v>0</v>
      </c>
      <c r="E11" s="2">
        <v>0</v>
      </c>
      <c r="F11" s="2">
        <v>0</v>
      </c>
      <c r="G11" s="2">
        <v>1</v>
      </c>
      <c r="H11" s="2">
        <v>1</v>
      </c>
      <c r="I11" s="2">
        <v>2</v>
      </c>
      <c r="J11" s="2">
        <v>0</v>
      </c>
      <c r="K11" s="2">
        <v>3</v>
      </c>
      <c r="L11" s="2">
        <v>1</v>
      </c>
      <c r="M11" s="2">
        <v>1</v>
      </c>
      <c r="N11" s="2">
        <v>100000</v>
      </c>
      <c r="O11" s="2">
        <v>6</v>
      </c>
      <c r="P11" s="13">
        <f>H11+I11</f>
        <v>3</v>
      </c>
      <c r="Q11" s="14">
        <f>P11/(C11+D11+E11+F11+G11)</f>
        <v>0.75</v>
      </c>
      <c r="R11" s="14">
        <f>L11/(C11+D11+E11+F11+G11)</f>
        <v>0.25</v>
      </c>
      <c r="S11" s="14">
        <f>M11/(C11+D11+E11+F11+G11)</f>
        <v>0.25</v>
      </c>
      <c r="T11" s="15">
        <f>IF(D11&gt;2,0,IF(D11=2,5,IF(D11=1,10,IF(D11&lt;1,15))))</f>
        <v>15</v>
      </c>
      <c r="U11" s="15">
        <f>IF(E11&gt;=2,0,IF(E11=1,5,IF(E11=0,10)))</f>
        <v>10</v>
      </c>
      <c r="V11" s="15">
        <f>IF(Q11&lt;0.5,0,IF(Q11&lt;0.75,5,IF(Q11&lt;1,10,IF(Q11&lt;1.2,15,IF(Q11&gt;=1.2,20)))))</f>
        <v>10</v>
      </c>
      <c r="W11" s="15">
        <f>IF(N11&lt;25000000,0,IF(N11&lt;50000000,5,IF(N11&lt;100000000,10,IF(N11&gt;=100000000,15))))</f>
        <v>0</v>
      </c>
      <c r="X11" s="15">
        <f>IF(R11&lt;0.1,0,IF(R11&lt;0.2,5,IF(R11&lt;0.4,10,IF(R11&lt;0.6,15,IF(R11&gt;=0.6,20)))))</f>
        <v>10</v>
      </c>
      <c r="Y11" s="15">
        <f>IF(S11&lt;1,0,IF(S11&lt;2,5,IF(S11&gt;=2,10)))</f>
        <v>0</v>
      </c>
      <c r="Z11" s="15">
        <f>IF(O11&lt;10,0,IF(O11&lt;20,5,IF(O11&gt;=20,10)))</f>
        <v>0</v>
      </c>
      <c r="AA11" s="16">
        <f>SUM(T11:Z11)</f>
        <v>45</v>
      </c>
      <c r="AB11" s="16" t="str">
        <f>IF(AA11&lt;30,"Grey",IF(AA11&lt;50,"Red",IF(AA11&lt;70,"Amber",IF(AA11&gt;=70,"Green"))))</f>
        <v>Red</v>
      </c>
    </row>
    <row r="12" spans="1:28" ht="17.25" thickBot="1" x14ac:dyDescent="0.35">
      <c r="A12" t="s">
        <v>11</v>
      </c>
      <c r="C12" s="2">
        <v>4</v>
      </c>
      <c r="D12" s="2">
        <v>0</v>
      </c>
      <c r="E12" s="2">
        <v>0</v>
      </c>
      <c r="F12" s="2">
        <v>0</v>
      </c>
      <c r="G12" s="2">
        <v>0</v>
      </c>
      <c r="H12" s="2">
        <v>4</v>
      </c>
      <c r="I12" s="2">
        <v>4</v>
      </c>
      <c r="J12" s="2">
        <v>0</v>
      </c>
      <c r="K12" s="2">
        <v>2</v>
      </c>
      <c r="L12" s="2">
        <v>0</v>
      </c>
      <c r="M12" s="2">
        <v>11</v>
      </c>
      <c r="N12" s="2">
        <v>2535200</v>
      </c>
      <c r="O12" s="2">
        <v>5</v>
      </c>
      <c r="P12" s="13">
        <f>H12+I12</f>
        <v>8</v>
      </c>
      <c r="Q12" s="14">
        <f>P12/(C12+D12+E12+F12+G12)</f>
        <v>2</v>
      </c>
      <c r="R12" s="14">
        <f>L12/(C12+D12+E12+F12+G12)</f>
        <v>0</v>
      </c>
      <c r="S12" s="14">
        <f>M12/(C12+D12+E12+F12+G12)</f>
        <v>2.75</v>
      </c>
      <c r="T12" s="15">
        <f>IF(D12&gt;2,0,IF(D12=2,5,IF(D12=1,10,IF(D12&lt;1,15))))</f>
        <v>15</v>
      </c>
      <c r="U12" s="15">
        <f>IF(E12&gt;=2,0,IF(E12=1,5,IF(E12=0,10)))</f>
        <v>10</v>
      </c>
      <c r="V12" s="15">
        <f>IF(Q12&lt;0.5,0,IF(Q12&lt;0.75,5,IF(Q12&lt;1,10,IF(Q12&lt;1.2,15,IF(Q12&gt;=1.2,20)))))</f>
        <v>20</v>
      </c>
      <c r="W12" s="15">
        <f>IF(N12&lt;25000000,0,IF(N12&lt;50000000,5,IF(N12&lt;100000000,10,IF(N12&gt;=100000000,15))))</f>
        <v>0</v>
      </c>
      <c r="X12" s="15">
        <f>IF(R12&lt;0.1,0,IF(R12&lt;0.2,5,IF(R12&lt;0.4,10,IF(R12&lt;0.6,15,IF(R12&gt;=0.6,20)))))</f>
        <v>0</v>
      </c>
      <c r="Y12" s="15">
        <f>IF(S12&lt;1,0,IF(S12&lt;2,5,IF(S12&gt;=2,10)))</f>
        <v>10</v>
      </c>
      <c r="Z12" s="15">
        <f>IF(O12&lt;10,0,IF(O12&lt;20,5,IF(O12&gt;=20,10)))</f>
        <v>0</v>
      </c>
      <c r="AA12" s="16">
        <f>SUM(T12:Z12)</f>
        <v>55</v>
      </c>
      <c r="AB12" s="16" t="str">
        <f>IF(AA12&lt;30,"Grey",IF(AA12&lt;50,"Red",IF(AA12&lt;70,"Amber",IF(AA12&gt;=70,"Green"))))</f>
        <v>Amber</v>
      </c>
    </row>
    <row r="13" spans="1:28" ht="17.25" thickBot="1" x14ac:dyDescent="0.35">
      <c r="A13" t="s">
        <v>63</v>
      </c>
      <c r="C13" s="1">
        <v>4</v>
      </c>
      <c r="D13" s="1">
        <v>0</v>
      </c>
      <c r="E13" s="1">
        <v>0</v>
      </c>
      <c r="F13" s="1">
        <v>0</v>
      </c>
      <c r="G13" s="1">
        <v>0</v>
      </c>
      <c r="H13" s="1">
        <v>3</v>
      </c>
      <c r="I13" s="1">
        <v>10</v>
      </c>
      <c r="J13" s="1">
        <v>1</v>
      </c>
      <c r="K13" s="1">
        <v>4</v>
      </c>
      <c r="L13" s="27">
        <v>3</v>
      </c>
      <c r="M13" s="1">
        <v>8</v>
      </c>
      <c r="N13" s="1">
        <v>744300</v>
      </c>
      <c r="O13" s="1">
        <v>4</v>
      </c>
      <c r="P13" s="13">
        <f>H13+I13</f>
        <v>13</v>
      </c>
      <c r="Q13" s="14">
        <f>P13/(C13+D13+E13+F13+G13)</f>
        <v>3.25</v>
      </c>
      <c r="R13" s="14">
        <f>L13/(C13+D13+E13+F13+G13)</f>
        <v>0.75</v>
      </c>
      <c r="S13" s="14">
        <f>M13/(C13+D13+E13+F13+G13)</f>
        <v>2</v>
      </c>
      <c r="T13" s="15">
        <f>IF(D13&gt;2,0,IF(D13=2,5,IF(D13=1,10,IF(D13&lt;1,15))))</f>
        <v>15</v>
      </c>
      <c r="U13" s="15">
        <f>IF(E13&gt;=2,0,IF(E13=1,5,IF(E13=0,10)))</f>
        <v>10</v>
      </c>
      <c r="V13" s="15">
        <f>IF(Q13&lt;0.5,0,IF(Q13&lt;0.75,5,IF(Q13&lt;1,10,IF(Q13&lt;1.2,15,IF(Q13&gt;=1.2,20)))))</f>
        <v>20</v>
      </c>
      <c r="W13" s="15">
        <f>IF(N13&lt;25000000,0,IF(N13&lt;50000000,5,IF(N13&lt;100000000,10,IF(N13&gt;=100000000,15))))</f>
        <v>0</v>
      </c>
      <c r="X13" s="15">
        <f>IF(R13&lt;0.1,0,IF(R13&lt;0.2,5,IF(R13&lt;0.4,10,IF(R13&lt;0.6,15,IF(R13&gt;=0.6,20)))))</f>
        <v>20</v>
      </c>
      <c r="Y13" s="15">
        <f>IF(S13&lt;1,0,IF(S13&lt;2,5,IF(S13&gt;=2,10)))</f>
        <v>10</v>
      </c>
      <c r="Z13" s="15">
        <f>IF(O13&lt;10,0,IF(O13&lt;20,5,IF(O13&gt;=20,10)))</f>
        <v>0</v>
      </c>
      <c r="AA13" s="16">
        <f>SUM(T13:Z13)</f>
        <v>75</v>
      </c>
      <c r="AB13" s="16" t="str">
        <f>IF(AA13&lt;30,"Grey",IF(AA13&lt;50,"Red",IF(AA13&lt;70,"Amber",IF(AA13&gt;=70,"Green"))))</f>
        <v>Green</v>
      </c>
    </row>
    <row r="14" spans="1:28" ht="17.25" thickBot="1" x14ac:dyDescent="0.35">
      <c r="A14" t="s">
        <v>10</v>
      </c>
      <c r="C14" s="1">
        <v>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5</v>
      </c>
      <c r="J14" s="1">
        <v>0</v>
      </c>
      <c r="K14" s="1">
        <v>1</v>
      </c>
      <c r="L14" s="1">
        <v>2</v>
      </c>
      <c r="M14" s="1">
        <v>5</v>
      </c>
      <c r="N14" s="1">
        <v>100000</v>
      </c>
      <c r="O14" s="1">
        <v>3</v>
      </c>
      <c r="P14" s="13">
        <f>H14+I14</f>
        <v>5</v>
      </c>
      <c r="Q14" s="14">
        <f>P14/(C14+D14+E14+F14+G14)</f>
        <v>1.25</v>
      </c>
      <c r="R14" s="14">
        <f>L14/(C14+D14+E14+F14+G14)</f>
        <v>0.5</v>
      </c>
      <c r="S14" s="14">
        <f>M14/(C14+D14+E14+F14+G14)</f>
        <v>1.25</v>
      </c>
      <c r="T14" s="15">
        <f>IF(D14&gt;2,0,IF(D14=2,5,IF(D14=1,10,IF(D14&lt;1,15))))</f>
        <v>15</v>
      </c>
      <c r="U14" s="15">
        <f>IF(E14&gt;=2,0,IF(E14=1,5,IF(E14=0,10)))</f>
        <v>10</v>
      </c>
      <c r="V14" s="15">
        <f>IF(Q14&lt;0.5,0,IF(Q14&lt;0.75,5,IF(Q14&lt;1,10,IF(Q14&lt;1.2,15,IF(Q14&gt;=1.2,20)))))</f>
        <v>20</v>
      </c>
      <c r="W14" s="15">
        <f>IF(N14&lt;25000000,0,IF(N14&lt;50000000,5,IF(N14&lt;100000000,10,IF(N14&gt;=100000000,15))))</f>
        <v>0</v>
      </c>
      <c r="X14" s="15">
        <f>IF(R14&lt;0.1,0,IF(R14&lt;0.2,5,IF(R14&lt;0.4,10,IF(R14&lt;0.6,15,IF(R14&gt;=0.6,20)))))</f>
        <v>15</v>
      </c>
      <c r="Y14" s="15">
        <f>IF(S14&lt;1,0,IF(S14&lt;2,5,IF(S14&gt;=2,10)))</f>
        <v>5</v>
      </c>
      <c r="Z14" s="15">
        <f>IF(O14&lt;10,0,IF(O14&lt;20,5,IF(O14&gt;=20,10)))</f>
        <v>0</v>
      </c>
      <c r="AA14" s="16">
        <f>SUM(T14:Z14)</f>
        <v>65</v>
      </c>
      <c r="AB14" s="16" t="str">
        <f>IF(AA14&lt;30,"Grey",IF(AA14&lt;50,"Red",IF(AA14&lt;70,"Amber",IF(AA14&gt;=70,"Green"))))</f>
        <v>Amber</v>
      </c>
    </row>
    <row r="15" spans="1:28" ht="17.25" thickBot="1" x14ac:dyDescent="0.35">
      <c r="A15" t="s">
        <v>14</v>
      </c>
      <c r="C15" s="2">
        <v>4</v>
      </c>
      <c r="D15" s="2">
        <v>0</v>
      </c>
      <c r="E15" s="2">
        <v>0</v>
      </c>
      <c r="F15" s="2">
        <v>0</v>
      </c>
      <c r="G15" s="2">
        <v>0</v>
      </c>
      <c r="H15" s="2">
        <v>5</v>
      </c>
      <c r="I15" s="2">
        <v>3</v>
      </c>
      <c r="J15" s="2">
        <v>1</v>
      </c>
      <c r="K15" s="2">
        <v>7</v>
      </c>
      <c r="L15" s="2">
        <v>1</v>
      </c>
      <c r="M15" s="2">
        <v>16</v>
      </c>
      <c r="N15" s="2">
        <v>225000</v>
      </c>
      <c r="O15" s="2">
        <v>6</v>
      </c>
      <c r="P15" s="13">
        <f>H15+I15</f>
        <v>8</v>
      </c>
      <c r="Q15" s="14">
        <f>P15/(C15+D15+E15+F15+G15)</f>
        <v>2</v>
      </c>
      <c r="R15" s="14">
        <f>L15/(C15+D15+E15+F15+G15)</f>
        <v>0.25</v>
      </c>
      <c r="S15" s="14">
        <f>M15/(C15+D15+E15+F15+G15)</f>
        <v>4</v>
      </c>
      <c r="T15" s="15">
        <f>IF(D15&gt;2,0,IF(D15=2,5,IF(D15=1,10,IF(D15&lt;1,15))))</f>
        <v>15</v>
      </c>
      <c r="U15" s="15">
        <f>IF(E15&gt;=2,0,IF(E15=1,5,IF(E15=0,10)))</f>
        <v>10</v>
      </c>
      <c r="V15" s="15">
        <f>IF(Q15&lt;0.5,0,IF(Q15&lt;0.75,5,IF(Q15&lt;1,10,IF(Q15&lt;1.2,15,IF(Q15&gt;=1.2,20)))))</f>
        <v>20</v>
      </c>
      <c r="W15" s="15">
        <f>IF(N15&lt;25000000,0,IF(N15&lt;50000000,5,IF(N15&lt;100000000,10,IF(N15&gt;=100000000,15))))</f>
        <v>0</v>
      </c>
      <c r="X15" s="15">
        <f>IF(R15&lt;0.1,0,IF(R15&lt;0.2,5,IF(R15&lt;0.4,10,IF(R15&lt;0.6,15,IF(R15&gt;=0.6,20)))))</f>
        <v>10</v>
      </c>
      <c r="Y15" s="15">
        <f>IF(S15&lt;1,0,IF(S15&lt;2,5,IF(S15&gt;=2,10)))</f>
        <v>10</v>
      </c>
      <c r="Z15" s="15">
        <f>IF(O15&lt;10,0,IF(O15&lt;20,5,IF(O15&gt;=20,10)))</f>
        <v>0</v>
      </c>
      <c r="AA15" s="16">
        <f>SUM(T15:Z15)</f>
        <v>65</v>
      </c>
      <c r="AB15" s="16" t="str">
        <f>IF(AA15&lt;30,"Grey",IF(AA15&lt;50,"Red",IF(AA15&lt;70,"Amber",IF(AA15&gt;=70,"Green"))))</f>
        <v>Amber</v>
      </c>
    </row>
    <row r="16" spans="1:28" ht="17.25" thickBot="1" x14ac:dyDescent="0.35">
      <c r="A16" t="s">
        <v>28</v>
      </c>
      <c r="C16" s="2">
        <v>3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</v>
      </c>
      <c r="N16" s="2">
        <v>0</v>
      </c>
      <c r="O16" s="2">
        <v>0</v>
      </c>
      <c r="P16" s="13">
        <f>H16+I16</f>
        <v>0</v>
      </c>
      <c r="Q16" s="14">
        <f>P16/(C16+D16+E16+F16+G16)</f>
        <v>0</v>
      </c>
      <c r="R16" s="14">
        <f>L16/(C16+D16+E16+F16+G16)</f>
        <v>0</v>
      </c>
      <c r="S16" s="14">
        <f>M16/(C16+D16+E16+F16+G16)</f>
        <v>0.5</v>
      </c>
      <c r="T16" s="15">
        <f>IF(D16&gt;2,0,IF(D16=2,5,IF(D16=1,10,IF(D16&lt;1,15))))</f>
        <v>10</v>
      </c>
      <c r="U16" s="15">
        <f>IF(E16&gt;=2,0,IF(E16=1,5,IF(E16=0,10)))</f>
        <v>10</v>
      </c>
      <c r="V16" s="15">
        <f>IF(Q16&lt;0.5,0,IF(Q16&lt;0.75,5,IF(Q16&lt;1,10,IF(Q16&lt;1.2,15,IF(Q16&gt;=1.2,20)))))</f>
        <v>0</v>
      </c>
      <c r="W16" s="15">
        <f>IF(N16&lt;25000000,0,IF(N16&lt;50000000,5,IF(N16&lt;100000000,10,IF(N16&gt;=100000000,15))))</f>
        <v>0</v>
      </c>
      <c r="X16" s="15">
        <f>IF(R16&lt;0.1,0,IF(R16&lt;0.2,5,IF(R16&lt;0.4,10,IF(R16&lt;0.6,15,IF(R16&gt;=0.6,20)))))</f>
        <v>0</v>
      </c>
      <c r="Y16" s="15">
        <f>IF(S16&lt;1,0,IF(S16&lt;2,5,IF(S16&gt;=2,10)))</f>
        <v>0</v>
      </c>
      <c r="Z16" s="15">
        <f>IF(O16&lt;10,0,IF(O16&lt;20,5,IF(O16&gt;=20,10)))</f>
        <v>0</v>
      </c>
      <c r="AA16" s="16">
        <f>SUM(T16:Z16)</f>
        <v>20</v>
      </c>
      <c r="AB16" s="16" t="str">
        <f>IF(AA16&lt;30,"Grey",IF(AA16&lt;50,"Red",IF(AA16&lt;70,"Amber",IF(AA16&gt;=70,"Green"))))</f>
        <v>Grey</v>
      </c>
    </row>
    <row r="17" spans="1:28" ht="17.25" thickBot="1" x14ac:dyDescent="0.35">
      <c r="A17" t="s">
        <v>26</v>
      </c>
      <c r="C17" s="1">
        <v>3</v>
      </c>
      <c r="D17" s="1">
        <v>0</v>
      </c>
      <c r="E17" s="1">
        <v>0</v>
      </c>
      <c r="F17" s="1">
        <v>1</v>
      </c>
      <c r="G17" s="1">
        <v>0</v>
      </c>
      <c r="H17" s="1">
        <v>5</v>
      </c>
      <c r="I17" s="1">
        <v>2</v>
      </c>
      <c r="J17" s="1">
        <v>2</v>
      </c>
      <c r="K17" s="1">
        <v>3</v>
      </c>
      <c r="L17" s="27">
        <v>3</v>
      </c>
      <c r="M17" s="1">
        <v>15</v>
      </c>
      <c r="N17" s="1">
        <v>215000</v>
      </c>
      <c r="O17" s="1">
        <v>11</v>
      </c>
      <c r="P17" s="13">
        <f>H17+I17</f>
        <v>7</v>
      </c>
      <c r="Q17" s="14">
        <f>P17/(C17+D17+E17+F17+G17)</f>
        <v>1.75</v>
      </c>
      <c r="R17" s="14">
        <f>L17/(C17+D17+E17+F17+G17)</f>
        <v>0.75</v>
      </c>
      <c r="S17" s="14">
        <f>M17/(C17+D17+E17+F17+G17)</f>
        <v>3.75</v>
      </c>
      <c r="T17" s="15">
        <f>IF(D17&gt;2,0,IF(D17=2,5,IF(D17=1,10,IF(D17&lt;1,15))))</f>
        <v>15</v>
      </c>
      <c r="U17" s="15">
        <f>IF(E17&gt;=2,0,IF(E17=1,5,IF(E17=0,10)))</f>
        <v>10</v>
      </c>
      <c r="V17" s="15">
        <f>IF(Q17&lt;0.5,0,IF(Q17&lt;0.75,5,IF(Q17&lt;1,10,IF(Q17&lt;1.2,15,IF(Q17&gt;=1.2,20)))))</f>
        <v>20</v>
      </c>
      <c r="W17" s="15">
        <f>IF(N17&lt;25000000,0,IF(N17&lt;50000000,5,IF(N17&lt;100000000,10,IF(N17&gt;=100000000,15))))</f>
        <v>0</v>
      </c>
      <c r="X17" s="15">
        <f>IF(R17&lt;0.1,0,IF(R17&lt;0.2,5,IF(R17&lt;0.4,10,IF(R17&lt;0.6,15,IF(R17&gt;=0.6,20)))))</f>
        <v>20</v>
      </c>
      <c r="Y17" s="15">
        <f>IF(S17&lt;1,0,IF(S17&lt;2,5,IF(S17&gt;=2,10)))</f>
        <v>10</v>
      </c>
      <c r="Z17" s="15">
        <f>IF(O17&lt;10,0,IF(O17&lt;20,5,IF(O17&gt;=20,10)))</f>
        <v>5</v>
      </c>
      <c r="AA17" s="16">
        <f>SUM(T17:Z17)</f>
        <v>80</v>
      </c>
      <c r="AB17" s="16" t="str">
        <f>IF(AA17&lt;30,"Grey",IF(AA17&lt;50,"Red",IF(AA17&lt;70,"Amber",IF(AA17&gt;=70,"Green"))))</f>
        <v>Green</v>
      </c>
    </row>
    <row r="18" spans="1:28" ht="17.25" thickBot="1" x14ac:dyDescent="0.35">
      <c r="A18" t="s">
        <v>31</v>
      </c>
      <c r="C18" s="3">
        <v>4</v>
      </c>
      <c r="D18" s="3">
        <v>0</v>
      </c>
      <c r="E18" s="3">
        <v>0</v>
      </c>
      <c r="F18" s="3">
        <v>0</v>
      </c>
      <c r="G18" s="3">
        <v>0</v>
      </c>
      <c r="H18" s="3">
        <v>4</v>
      </c>
      <c r="I18" s="3">
        <v>4</v>
      </c>
      <c r="J18" s="3">
        <v>2</v>
      </c>
      <c r="K18" s="3">
        <v>6</v>
      </c>
      <c r="L18" s="3">
        <v>2</v>
      </c>
      <c r="M18" s="27">
        <v>21</v>
      </c>
      <c r="N18" s="3">
        <v>2517700</v>
      </c>
      <c r="O18" s="3">
        <v>16</v>
      </c>
      <c r="P18" s="13">
        <f t="shared" ref="P18:P22" si="0">H18+I18</f>
        <v>8</v>
      </c>
      <c r="Q18" s="14">
        <f t="shared" ref="Q18:Q22" si="1">P18/(C18+D18+E18+F18+G18)</f>
        <v>2</v>
      </c>
      <c r="R18" s="14">
        <f t="shared" ref="R18:R22" si="2">L18/(C18+D18+E18+F18+G18)</f>
        <v>0.5</v>
      </c>
      <c r="S18" s="14">
        <f t="shared" ref="S18:S22" si="3">M18/(C18+D18+E18+F18+G18)</f>
        <v>5.25</v>
      </c>
      <c r="T18" s="15">
        <f t="shared" ref="T18:T22" si="4">IF(D18&gt;2,0,IF(D18=2,5,IF(D18=1,10,IF(D18&lt;1,15))))</f>
        <v>15</v>
      </c>
      <c r="U18" s="15">
        <f t="shared" ref="U18:U22" si="5">IF(E18&gt;=2,0,IF(E18=1,5,IF(E18=0,10)))</f>
        <v>10</v>
      </c>
      <c r="V18" s="15">
        <f t="shared" ref="V18:V22" si="6">IF(Q18&lt;0.5,0,IF(Q18&lt;0.75,5,IF(Q18&lt;1,10,IF(Q18&lt;1.2,15,IF(Q18&gt;=1.2,20)))))</f>
        <v>20</v>
      </c>
      <c r="W18" s="15">
        <f t="shared" ref="W18:W22" si="7">IF(N18&lt;25000000,0,IF(N18&lt;50000000,5,IF(N18&lt;100000000,10,IF(N18&gt;=100000000,15))))</f>
        <v>0</v>
      </c>
      <c r="X18" s="15">
        <f t="shared" ref="X18:X22" si="8">IF(R18&lt;0.1,0,IF(R18&lt;0.2,5,IF(R18&lt;0.4,10,IF(R18&lt;0.6,15,IF(R18&gt;=0.6,20)))))</f>
        <v>15</v>
      </c>
      <c r="Y18" s="15">
        <f t="shared" ref="Y18:Y22" si="9">IF(S18&lt;1,0,IF(S18&lt;2,5,IF(S18&gt;=2,10)))</f>
        <v>10</v>
      </c>
      <c r="Z18" s="15">
        <f t="shared" ref="Z18:Z22" si="10">IF(O18&lt;10,0,IF(O18&lt;20,5,IF(O18&gt;=20,10)))</f>
        <v>5</v>
      </c>
      <c r="AA18" s="16">
        <f t="shared" ref="AA18:AA22" si="11">SUM(T18:Z18)</f>
        <v>75</v>
      </c>
      <c r="AB18" s="16" t="str">
        <f t="shared" ref="AB18:AB22" si="12">IF(AA18&lt;30,"Grey",IF(AA18&lt;50,"Red",IF(AA18&lt;70,"Amber",IF(AA18&gt;=70,"Green"))))</f>
        <v>Green</v>
      </c>
    </row>
    <row r="19" spans="1:28" ht="17.25" thickBot="1" x14ac:dyDescent="0.35">
      <c r="A19" t="s">
        <v>29</v>
      </c>
      <c r="C19" s="1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1</v>
      </c>
      <c r="M19" s="1">
        <v>7</v>
      </c>
      <c r="N19" s="1">
        <v>0</v>
      </c>
      <c r="O19" s="1">
        <v>10</v>
      </c>
      <c r="P19" s="13">
        <f t="shared" si="0"/>
        <v>0</v>
      </c>
      <c r="Q19" s="14">
        <f t="shared" si="1"/>
        <v>0</v>
      </c>
      <c r="R19" s="14">
        <f t="shared" si="2"/>
        <v>0.25</v>
      </c>
      <c r="S19" s="14">
        <f t="shared" si="3"/>
        <v>1.75</v>
      </c>
      <c r="T19" s="15">
        <f t="shared" si="4"/>
        <v>15</v>
      </c>
      <c r="U19" s="15">
        <f t="shared" si="5"/>
        <v>10</v>
      </c>
      <c r="V19" s="15">
        <f t="shared" si="6"/>
        <v>0</v>
      </c>
      <c r="W19" s="15">
        <f t="shared" si="7"/>
        <v>0</v>
      </c>
      <c r="X19" s="15">
        <f t="shared" si="8"/>
        <v>10</v>
      </c>
      <c r="Y19" s="15">
        <f t="shared" si="9"/>
        <v>5</v>
      </c>
      <c r="Z19" s="15">
        <f t="shared" si="10"/>
        <v>5</v>
      </c>
      <c r="AA19" s="16">
        <f t="shared" si="11"/>
        <v>45</v>
      </c>
      <c r="AB19" s="16" t="str">
        <f t="shared" si="12"/>
        <v>Red</v>
      </c>
    </row>
    <row r="20" spans="1:28" ht="17.25" thickBot="1" x14ac:dyDescent="0.35">
      <c r="A20" t="s">
        <v>30</v>
      </c>
      <c r="C20" s="2">
        <v>4</v>
      </c>
      <c r="D20" s="2">
        <v>0</v>
      </c>
      <c r="E20" s="2">
        <v>0</v>
      </c>
      <c r="F20" s="2">
        <v>0</v>
      </c>
      <c r="G20" s="2">
        <v>0</v>
      </c>
      <c r="H20" s="2">
        <v>2</v>
      </c>
      <c r="I20" s="2">
        <v>9</v>
      </c>
      <c r="J20" s="2">
        <v>3</v>
      </c>
      <c r="K20" s="2">
        <v>9</v>
      </c>
      <c r="L20" s="2">
        <v>2</v>
      </c>
      <c r="M20" s="2">
        <v>14</v>
      </c>
      <c r="N20" s="2">
        <v>9600000</v>
      </c>
      <c r="O20" s="2">
        <v>6</v>
      </c>
      <c r="P20" s="13">
        <f t="shared" si="0"/>
        <v>11</v>
      </c>
      <c r="Q20" s="14">
        <f t="shared" si="1"/>
        <v>2.75</v>
      </c>
      <c r="R20" s="14">
        <f t="shared" si="2"/>
        <v>0.5</v>
      </c>
      <c r="S20" s="14">
        <f t="shared" si="3"/>
        <v>3.5</v>
      </c>
      <c r="T20" s="15">
        <f t="shared" si="4"/>
        <v>15</v>
      </c>
      <c r="U20" s="15">
        <f t="shared" si="5"/>
        <v>10</v>
      </c>
      <c r="V20" s="15">
        <f t="shared" si="6"/>
        <v>20</v>
      </c>
      <c r="W20" s="15">
        <f t="shared" si="7"/>
        <v>0</v>
      </c>
      <c r="X20" s="15">
        <f t="shared" si="8"/>
        <v>15</v>
      </c>
      <c r="Y20" s="15">
        <f t="shared" si="9"/>
        <v>10</v>
      </c>
      <c r="Z20" s="15">
        <f t="shared" si="10"/>
        <v>0</v>
      </c>
      <c r="AA20" s="16">
        <f t="shared" si="11"/>
        <v>70</v>
      </c>
      <c r="AB20" s="16" t="str">
        <f t="shared" si="12"/>
        <v>Green</v>
      </c>
    </row>
    <row r="21" spans="1:28" ht="17.25" thickBot="1" x14ac:dyDescent="0.35">
      <c r="A21" t="s">
        <v>32</v>
      </c>
      <c r="C21" s="2">
        <v>4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2</v>
      </c>
      <c r="J21" s="2">
        <v>8</v>
      </c>
      <c r="K21" s="2">
        <v>3</v>
      </c>
      <c r="L21" s="2">
        <v>1</v>
      </c>
      <c r="M21" s="2">
        <v>10</v>
      </c>
      <c r="N21" s="2">
        <v>615300</v>
      </c>
      <c r="O21" s="27">
        <v>27</v>
      </c>
      <c r="P21" s="13">
        <f t="shared" si="0"/>
        <v>4</v>
      </c>
      <c r="Q21" s="14">
        <f t="shared" si="1"/>
        <v>1</v>
      </c>
      <c r="R21" s="14">
        <f t="shared" si="2"/>
        <v>0.25</v>
      </c>
      <c r="S21" s="14">
        <f t="shared" si="3"/>
        <v>2.5</v>
      </c>
      <c r="T21" s="15">
        <f t="shared" si="4"/>
        <v>15</v>
      </c>
      <c r="U21" s="15">
        <f t="shared" si="5"/>
        <v>10</v>
      </c>
      <c r="V21" s="15">
        <f t="shared" si="6"/>
        <v>15</v>
      </c>
      <c r="W21" s="15">
        <f t="shared" si="7"/>
        <v>0</v>
      </c>
      <c r="X21" s="15">
        <f t="shared" si="8"/>
        <v>10</v>
      </c>
      <c r="Y21" s="15">
        <f t="shared" si="9"/>
        <v>10</v>
      </c>
      <c r="Z21" s="15">
        <f t="shared" si="10"/>
        <v>10</v>
      </c>
      <c r="AA21" s="16">
        <f t="shared" si="11"/>
        <v>70</v>
      </c>
      <c r="AB21" s="16" t="str">
        <f t="shared" si="12"/>
        <v>Green</v>
      </c>
    </row>
    <row r="22" spans="1:28" ht="17.25" thickBot="1" x14ac:dyDescent="0.35">
      <c r="A22" t="s">
        <v>18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3">
        <f t="shared" si="0"/>
        <v>0</v>
      </c>
      <c r="Q22" s="14">
        <f t="shared" si="1"/>
        <v>0</v>
      </c>
      <c r="R22" s="14">
        <f t="shared" si="2"/>
        <v>0</v>
      </c>
      <c r="S22" s="14">
        <f t="shared" si="3"/>
        <v>0</v>
      </c>
      <c r="T22" s="15">
        <f t="shared" si="4"/>
        <v>15</v>
      </c>
      <c r="U22" s="15">
        <f t="shared" si="5"/>
        <v>10</v>
      </c>
      <c r="V22" s="15">
        <f t="shared" si="6"/>
        <v>0</v>
      </c>
      <c r="W22" s="15">
        <f t="shared" si="7"/>
        <v>0</v>
      </c>
      <c r="X22" s="15">
        <f t="shared" si="8"/>
        <v>0</v>
      </c>
      <c r="Y22" s="15">
        <f t="shared" si="9"/>
        <v>0</v>
      </c>
      <c r="Z22" s="15">
        <f t="shared" si="10"/>
        <v>0</v>
      </c>
      <c r="AA22" s="16">
        <f t="shared" si="11"/>
        <v>25</v>
      </c>
      <c r="AB22" s="16" t="str">
        <f t="shared" si="12"/>
        <v>Grey</v>
      </c>
    </row>
    <row r="23" spans="1:28" ht="17.25" thickBot="1" x14ac:dyDescent="0.35">
      <c r="A23" t="s">
        <v>22</v>
      </c>
      <c r="C23" s="2">
        <v>4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8</v>
      </c>
      <c r="J23" s="2">
        <v>0</v>
      </c>
      <c r="K23" s="2">
        <v>4</v>
      </c>
      <c r="L23" s="2">
        <v>0</v>
      </c>
      <c r="M23" s="2">
        <v>9</v>
      </c>
      <c r="N23" s="2">
        <v>5290000</v>
      </c>
      <c r="O23" s="2">
        <v>1</v>
      </c>
      <c r="P23" s="13">
        <f>H23+I23</f>
        <v>9</v>
      </c>
      <c r="Q23" s="14">
        <f>P23/(C23+D23+E23+F23+G23)</f>
        <v>2.25</v>
      </c>
      <c r="R23" s="14">
        <f>L23/(C23+D23+E23+F23+G23)</f>
        <v>0</v>
      </c>
      <c r="S23" s="14">
        <f>M23/(C23+D23+E23+F23+G23)</f>
        <v>2.25</v>
      </c>
      <c r="T23" s="15">
        <f>IF(D23&gt;2,0,IF(D23=2,5,IF(D23=1,10,IF(D23&lt;1,15))))</f>
        <v>15</v>
      </c>
      <c r="U23" s="15">
        <f>IF(E23&gt;=2,0,IF(E23=1,5,IF(E23=0,10)))</f>
        <v>10</v>
      </c>
      <c r="V23" s="15">
        <f>IF(Q23&lt;0.5,0,IF(Q23&lt;0.75,5,IF(Q23&lt;1,10,IF(Q23&lt;1.2,15,IF(Q23&gt;=1.2,20)))))</f>
        <v>20</v>
      </c>
      <c r="W23" s="15">
        <f>IF(N23&lt;25000000,0,IF(N23&lt;50000000,5,IF(N23&lt;100000000,10,IF(N23&gt;=100000000,15))))</f>
        <v>0</v>
      </c>
      <c r="X23" s="15">
        <f>IF(R23&lt;0.1,0,IF(R23&lt;0.2,5,IF(R23&lt;0.4,10,IF(R23&lt;0.6,15,IF(R23&gt;=0.6,20)))))</f>
        <v>0</v>
      </c>
      <c r="Y23" s="15">
        <f>IF(S23&lt;1,0,IF(S23&lt;2,5,IF(S23&gt;=2,10)))</f>
        <v>10</v>
      </c>
      <c r="Z23" s="15">
        <f>IF(O23&lt;10,0,IF(O23&lt;20,5,IF(O23&gt;=20,10)))</f>
        <v>0</v>
      </c>
      <c r="AA23" s="16">
        <f>SUM(T23:Z23)</f>
        <v>55</v>
      </c>
      <c r="AB23" s="16" t="str">
        <f>IF(AA23&lt;30,"Grey",IF(AA23&lt;50,"Red",IF(AA23&lt;70,"Amber",IF(AA23&gt;=70,"Green"))))</f>
        <v>Amber</v>
      </c>
    </row>
    <row r="24" spans="1:28" ht="17.25" thickBot="1" x14ac:dyDescent="0.35">
      <c r="A24" t="s">
        <v>19</v>
      </c>
      <c r="C24" s="2">
        <v>4</v>
      </c>
      <c r="D24" s="2">
        <v>0</v>
      </c>
      <c r="E24" s="2">
        <v>0</v>
      </c>
      <c r="F24" s="2">
        <v>0</v>
      </c>
      <c r="G24" s="2">
        <v>0</v>
      </c>
      <c r="H24" s="2">
        <v>4</v>
      </c>
      <c r="I24" s="2">
        <v>3</v>
      </c>
      <c r="J24" s="2">
        <v>0</v>
      </c>
      <c r="K24" s="2">
        <v>0</v>
      </c>
      <c r="L24" s="2">
        <v>1</v>
      </c>
      <c r="M24" s="2">
        <v>11</v>
      </c>
      <c r="N24" s="2">
        <v>250000</v>
      </c>
      <c r="O24" s="2">
        <v>9</v>
      </c>
      <c r="P24" s="13">
        <f>H24+I24</f>
        <v>7</v>
      </c>
      <c r="Q24" s="14">
        <f>P24/(C24+D24+E24+F24+G24)</f>
        <v>1.75</v>
      </c>
      <c r="R24" s="14">
        <f>L24/(C24+D24+E24+F24+G24)</f>
        <v>0.25</v>
      </c>
      <c r="S24" s="14">
        <f>M24/(C24+D24+E24+F24+G24)</f>
        <v>2.75</v>
      </c>
      <c r="T24" s="15">
        <f>IF(D24&gt;2,0,IF(D24=2,5,IF(D24=1,10,IF(D24&lt;1,15))))</f>
        <v>15</v>
      </c>
      <c r="U24" s="15">
        <f>IF(E24&gt;=2,0,IF(E24=1,5,IF(E24=0,10)))</f>
        <v>10</v>
      </c>
      <c r="V24" s="15">
        <f>IF(Q24&lt;0.5,0,IF(Q24&lt;0.75,5,IF(Q24&lt;1,10,IF(Q24&lt;1.2,15,IF(Q24&gt;=1.2,20)))))</f>
        <v>20</v>
      </c>
      <c r="W24" s="15">
        <f>IF(N24&lt;25000000,0,IF(N24&lt;50000000,5,IF(N24&lt;100000000,10,IF(N24&gt;=100000000,15))))</f>
        <v>0</v>
      </c>
      <c r="X24" s="15">
        <f>IF(R24&lt;0.1,0,IF(R24&lt;0.2,5,IF(R24&lt;0.4,10,IF(R24&lt;0.6,15,IF(R24&gt;=0.6,20)))))</f>
        <v>10</v>
      </c>
      <c r="Y24" s="15">
        <f>IF(S24&lt;1,0,IF(S24&lt;2,5,IF(S24&gt;=2,10)))</f>
        <v>10</v>
      </c>
      <c r="Z24" s="15">
        <f>IF(O24&lt;10,0,IF(O24&lt;20,5,IF(O24&gt;=20,10)))</f>
        <v>0</v>
      </c>
      <c r="AA24" s="16">
        <f>SUM(T24:Z24)</f>
        <v>65</v>
      </c>
      <c r="AB24" s="16" t="str">
        <f>IF(AA24&lt;30,"Grey",IF(AA24&lt;50,"Red",IF(AA24&lt;70,"Amber",IF(AA24&gt;=70,"Green"))))</f>
        <v>Amber</v>
      </c>
    </row>
    <row r="25" spans="1:28" ht="17.25" thickBot="1" x14ac:dyDescent="0.35">
      <c r="A25" t="s">
        <v>21</v>
      </c>
      <c r="C25" s="1">
        <v>3</v>
      </c>
      <c r="D25" s="1">
        <v>0</v>
      </c>
      <c r="E25" s="1">
        <v>1</v>
      </c>
      <c r="F25" s="1">
        <v>0</v>
      </c>
      <c r="G25" s="1">
        <v>0</v>
      </c>
      <c r="H25" s="1">
        <v>1</v>
      </c>
      <c r="I25" s="1">
        <v>8</v>
      </c>
      <c r="J25" s="1">
        <v>0</v>
      </c>
      <c r="K25" s="1">
        <v>1</v>
      </c>
      <c r="L25" s="27">
        <v>3</v>
      </c>
      <c r="M25" s="1">
        <v>20</v>
      </c>
      <c r="N25" s="1">
        <v>9300000</v>
      </c>
      <c r="O25" s="1">
        <v>3</v>
      </c>
      <c r="P25" s="13">
        <f>H25+I25</f>
        <v>9</v>
      </c>
      <c r="Q25" s="14">
        <f>P25/(C25+D25+E25+F25+G25)</f>
        <v>2.25</v>
      </c>
      <c r="R25" s="14">
        <f>L25/(C25+D25+E25+F25+G25)</f>
        <v>0.75</v>
      </c>
      <c r="S25" s="14">
        <f>M25/(C25+D25+E25+F25+G25)</f>
        <v>5</v>
      </c>
      <c r="T25" s="15">
        <f>IF(D25&gt;2,0,IF(D25=2,5,IF(D25=1,10,IF(D25&lt;1,15))))</f>
        <v>15</v>
      </c>
      <c r="U25" s="15">
        <f>IF(E25&gt;=2,0,IF(E25=1,5,IF(E25=0,10)))</f>
        <v>5</v>
      </c>
      <c r="V25" s="15">
        <f>IF(Q25&lt;0.5,0,IF(Q25&lt;0.75,5,IF(Q25&lt;1,10,IF(Q25&lt;1.2,15,IF(Q25&gt;=1.2,20)))))</f>
        <v>20</v>
      </c>
      <c r="W25" s="15">
        <f>IF(N25&lt;25000000,0,IF(N25&lt;50000000,5,IF(N25&lt;100000000,10,IF(N25&gt;=100000000,15))))</f>
        <v>0</v>
      </c>
      <c r="X25" s="15">
        <f>IF(R25&lt;0.1,0,IF(R25&lt;0.2,5,IF(R25&lt;0.4,10,IF(R25&lt;0.6,15,IF(R25&gt;=0.6,20)))))</f>
        <v>20</v>
      </c>
      <c r="Y25" s="15">
        <f>IF(S25&lt;1,0,IF(S25&lt;2,5,IF(S25&gt;=2,10)))</f>
        <v>10</v>
      </c>
      <c r="Z25" s="15">
        <f>IF(O25&lt;10,0,IF(O25&lt;20,5,IF(O25&gt;=20,10)))</f>
        <v>0</v>
      </c>
      <c r="AA25" s="16">
        <f>SUM(T25:Z25)</f>
        <v>70</v>
      </c>
      <c r="AB25" s="16" t="str">
        <f>IF(AA25&lt;30,"Grey",IF(AA25&lt;50,"Red",IF(AA25&lt;70,"Amber",IF(AA25&gt;=70,"Green"))))</f>
        <v>Green</v>
      </c>
    </row>
    <row r="26" spans="1:28" ht="17.25" thickBot="1" x14ac:dyDescent="0.35">
      <c r="A26" t="s">
        <v>24</v>
      </c>
      <c r="C26" s="2">
        <v>4</v>
      </c>
      <c r="D26" s="2">
        <v>0</v>
      </c>
      <c r="E26" s="2">
        <v>0</v>
      </c>
      <c r="F26" s="2">
        <v>0</v>
      </c>
      <c r="G26" s="2">
        <v>0</v>
      </c>
      <c r="H26" s="2">
        <v>2</v>
      </c>
      <c r="I26" s="2">
        <v>7</v>
      </c>
      <c r="J26" s="2">
        <v>1</v>
      </c>
      <c r="K26" s="2">
        <v>23</v>
      </c>
      <c r="L26" s="2">
        <v>1</v>
      </c>
      <c r="M26" s="2">
        <v>5</v>
      </c>
      <c r="N26" s="2">
        <v>6187000</v>
      </c>
      <c r="O26" s="2">
        <v>2</v>
      </c>
      <c r="P26" s="13">
        <f>H26+I26</f>
        <v>9</v>
      </c>
      <c r="Q26" s="14">
        <f>P26/(C26+D26+E26+F26+G26)</f>
        <v>2.25</v>
      </c>
      <c r="R26" s="14">
        <f>L26/(C26+D26+E26+F26+G26)</f>
        <v>0.25</v>
      </c>
      <c r="S26" s="14">
        <f>M26/(C26+D26+E26+F26+G26)</f>
        <v>1.25</v>
      </c>
      <c r="T26" s="15">
        <f>IF(D26&gt;2,0,IF(D26=2,5,IF(D26=1,10,IF(D26&lt;1,15))))</f>
        <v>15</v>
      </c>
      <c r="U26" s="15">
        <f>IF(E26&gt;=2,0,IF(E26=1,5,IF(E26=0,10)))</f>
        <v>10</v>
      </c>
      <c r="V26" s="15">
        <f>IF(Q26&lt;0.5,0,IF(Q26&lt;0.75,5,IF(Q26&lt;1,10,IF(Q26&lt;1.2,15,IF(Q26&gt;=1.2,20)))))</f>
        <v>20</v>
      </c>
      <c r="W26" s="15">
        <f>IF(N26&lt;25000000,0,IF(N26&lt;50000000,5,IF(N26&lt;100000000,10,IF(N26&gt;=100000000,15))))</f>
        <v>0</v>
      </c>
      <c r="X26" s="15">
        <f>IF(R26&lt;0.1,0,IF(R26&lt;0.2,5,IF(R26&lt;0.4,10,IF(R26&lt;0.6,15,IF(R26&gt;=0.6,20)))))</f>
        <v>10</v>
      </c>
      <c r="Y26" s="15">
        <f>IF(S26&lt;1,0,IF(S26&lt;2,5,IF(S26&gt;=2,10)))</f>
        <v>5</v>
      </c>
      <c r="Z26" s="15">
        <f>IF(O26&lt;10,0,IF(O26&lt;20,5,IF(O26&gt;=20,10)))</f>
        <v>0</v>
      </c>
      <c r="AA26" s="16">
        <f>SUM(T26:Z26)</f>
        <v>60</v>
      </c>
      <c r="AB26" s="16" t="str">
        <f>IF(AA26&lt;30,"Grey",IF(AA26&lt;50,"Red",IF(AA26&lt;70,"Amber",IF(AA26&gt;=70,"Green"))))</f>
        <v>Amber</v>
      </c>
    </row>
    <row r="27" spans="1:28" ht="17.25" thickBot="1" x14ac:dyDescent="0.35">
      <c r="A27" t="s">
        <v>23</v>
      </c>
      <c r="C27" s="1">
        <v>4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3</v>
      </c>
      <c r="J27" s="1">
        <v>12</v>
      </c>
      <c r="K27" s="1">
        <v>6</v>
      </c>
      <c r="L27" s="1">
        <v>1</v>
      </c>
      <c r="M27" s="1">
        <v>6</v>
      </c>
      <c r="N27" s="1">
        <v>6617000</v>
      </c>
      <c r="O27" s="1">
        <v>7</v>
      </c>
      <c r="P27" s="13">
        <f>H27+I27</f>
        <v>4</v>
      </c>
      <c r="Q27" s="14">
        <f>P27/(C27+D27+E27+F27+G27)</f>
        <v>1</v>
      </c>
      <c r="R27" s="14">
        <f>L27/(C27+D27+E27+F27+G27)</f>
        <v>0.25</v>
      </c>
      <c r="S27" s="14">
        <f>M27/(C27+D27+E27+F27+G27)</f>
        <v>1.5</v>
      </c>
      <c r="T27" s="15">
        <f>IF(D27&gt;2,0,IF(D27=2,5,IF(D27=1,10,IF(D27&lt;1,15))))</f>
        <v>15</v>
      </c>
      <c r="U27" s="15">
        <f>IF(E27&gt;=2,0,IF(E27=1,5,IF(E27=0,10)))</f>
        <v>10</v>
      </c>
      <c r="V27" s="15">
        <f>IF(Q27&lt;0.5,0,IF(Q27&lt;0.75,5,IF(Q27&lt;1,10,IF(Q27&lt;1.2,15,IF(Q27&gt;=1.2,20)))))</f>
        <v>15</v>
      </c>
      <c r="W27" s="15">
        <f>IF(N27&lt;25000000,0,IF(N27&lt;50000000,5,IF(N27&lt;100000000,10,IF(N27&gt;=100000000,15))))</f>
        <v>0</v>
      </c>
      <c r="X27" s="15">
        <f>IF(R27&lt;0.1,0,IF(R27&lt;0.2,5,IF(R27&lt;0.4,10,IF(R27&lt;0.6,15,IF(R27&gt;=0.6,20)))))</f>
        <v>10</v>
      </c>
      <c r="Y27" s="15">
        <f>IF(S27&lt;1,0,IF(S27&lt;2,5,IF(S27&gt;=2,10)))</f>
        <v>5</v>
      </c>
      <c r="Z27" s="15">
        <f>IF(O27&lt;10,0,IF(O27&lt;20,5,IF(O27&gt;=20,10)))</f>
        <v>0</v>
      </c>
      <c r="AA27" s="16">
        <f>SUM(T27:Z27)</f>
        <v>55</v>
      </c>
      <c r="AB27" s="16" t="str">
        <f>IF(AA27&lt;30,"Grey",IF(AA27&lt;50,"Red",IF(AA27&lt;70,"Amber",IF(AA27&gt;=70,"Green"))))</f>
        <v>Amber</v>
      </c>
    </row>
    <row r="28" spans="1:28" ht="17.25" thickBot="1" x14ac:dyDescent="0.35">
      <c r="A28" t="s">
        <v>68</v>
      </c>
      <c r="C28" s="2">
        <v>3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4</v>
      </c>
      <c r="K28" s="2">
        <v>1</v>
      </c>
      <c r="L28" s="2">
        <v>0</v>
      </c>
      <c r="M28" s="2">
        <v>3</v>
      </c>
      <c r="N28" s="2">
        <v>4200000</v>
      </c>
      <c r="O28" s="2">
        <v>8</v>
      </c>
      <c r="P28" s="13">
        <f>H28+I28</f>
        <v>1</v>
      </c>
      <c r="Q28" s="14">
        <f>P28/(C28+D28+E28+F28+G28)</f>
        <v>0.25</v>
      </c>
      <c r="R28" s="14">
        <f>L28/(C28+D28+E28+F28+G28)</f>
        <v>0</v>
      </c>
      <c r="S28" s="14">
        <f>M28/(C28+D28+E28+F28+G28)</f>
        <v>0.75</v>
      </c>
      <c r="T28" s="15">
        <f>IF(D28&gt;2,0,IF(D28=2,5,IF(D28=1,10,IF(D28&lt;1,15))))</f>
        <v>10</v>
      </c>
      <c r="U28" s="15">
        <f>IF(E28&gt;=2,0,IF(E28=1,5,IF(E28=0,10)))</f>
        <v>10</v>
      </c>
      <c r="V28" s="15">
        <f>IF(Q28&lt;0.5,0,IF(Q28&lt;0.75,5,IF(Q28&lt;1,10,IF(Q28&lt;1.2,15,IF(Q28&gt;=1.2,20)))))</f>
        <v>0</v>
      </c>
      <c r="W28" s="15">
        <f>IF(N28&lt;25000000,0,IF(N28&lt;50000000,5,IF(N28&lt;100000000,10,IF(N28&gt;=100000000,15))))</f>
        <v>0</v>
      </c>
      <c r="X28" s="15">
        <f>IF(R28&lt;0.1,0,IF(R28&lt;0.2,5,IF(R28&lt;0.4,10,IF(R28&lt;0.6,15,IF(R28&gt;=0.6,20)))))</f>
        <v>0</v>
      </c>
      <c r="Y28" s="15">
        <f>IF(S28&lt;1,0,IF(S28&lt;2,5,IF(S28&gt;=2,10)))</f>
        <v>0</v>
      </c>
      <c r="Z28" s="15">
        <f>IF(O28&lt;10,0,IF(O28&lt;20,5,IF(O28&gt;=20,10)))</f>
        <v>0</v>
      </c>
      <c r="AA28" s="16">
        <f>SUM(T28:Z28)</f>
        <v>20</v>
      </c>
      <c r="AB28" s="16" t="str">
        <f>IF(AA28&lt;30,"Grey",IF(AA28&lt;50,"Red",IF(AA28&lt;70,"Amber",IF(AA28&gt;=70,"Green"))))</f>
        <v>Grey</v>
      </c>
    </row>
    <row r="29" spans="1:28" ht="17.25" thickBot="1" x14ac:dyDescent="0.35">
      <c r="A29" t="s">
        <v>7</v>
      </c>
      <c r="C29" s="1">
        <v>3</v>
      </c>
      <c r="D29" s="1">
        <v>1</v>
      </c>
      <c r="E29" s="1">
        <v>0</v>
      </c>
      <c r="F29" s="1">
        <v>0</v>
      </c>
      <c r="G29" s="1">
        <v>0</v>
      </c>
      <c r="H29" s="1">
        <v>1</v>
      </c>
      <c r="I29" s="1">
        <v>7</v>
      </c>
      <c r="J29" s="1">
        <v>0</v>
      </c>
      <c r="K29" s="1">
        <v>1</v>
      </c>
      <c r="L29" s="1">
        <v>0</v>
      </c>
      <c r="M29" s="1">
        <v>5</v>
      </c>
      <c r="N29" s="1">
        <v>8240000</v>
      </c>
      <c r="O29" s="1">
        <v>1</v>
      </c>
      <c r="P29" s="13">
        <f>H29+I29</f>
        <v>8</v>
      </c>
      <c r="Q29" s="14">
        <f>P29/(C29+D29+E29+F29+G29)</f>
        <v>2</v>
      </c>
      <c r="R29" s="14">
        <f>L29/(C29+D29+E29+F29+G29)</f>
        <v>0</v>
      </c>
      <c r="S29" s="14">
        <f>M29/(C29+D29+E29+F29+G29)</f>
        <v>1.25</v>
      </c>
      <c r="T29" s="15">
        <f>IF(D29&gt;2,0,IF(D29=2,5,IF(D29=1,10,IF(D29&lt;1,15))))</f>
        <v>10</v>
      </c>
      <c r="U29" s="15">
        <f>IF(E29&gt;=2,0,IF(E29=1,5,IF(E29=0,10)))</f>
        <v>10</v>
      </c>
      <c r="V29" s="15">
        <f>IF(Q29&lt;0.5,0,IF(Q29&lt;0.75,5,IF(Q29&lt;1,10,IF(Q29&lt;1.2,15,IF(Q29&gt;=1.2,20)))))</f>
        <v>20</v>
      </c>
      <c r="W29" s="15">
        <f>IF(N29&lt;25000000,0,IF(N29&lt;50000000,5,IF(N29&lt;100000000,10,IF(N29&gt;=100000000,15))))</f>
        <v>0</v>
      </c>
      <c r="X29" s="15">
        <f>IF(R29&lt;0.1,0,IF(R29&lt;0.2,5,IF(R29&lt;0.4,10,IF(R29&lt;0.6,15,IF(R29&gt;=0.6,20)))))</f>
        <v>0</v>
      </c>
      <c r="Y29" s="15">
        <f>IF(S29&lt;1,0,IF(S29&lt;2,5,IF(S29&gt;=2,10)))</f>
        <v>5</v>
      </c>
      <c r="Z29" s="15">
        <f>IF(O29&lt;10,0,IF(O29&lt;20,5,IF(O29&gt;=20,10)))</f>
        <v>0</v>
      </c>
      <c r="AA29" s="16">
        <f>SUM(T29:Z29)</f>
        <v>45</v>
      </c>
      <c r="AB29" s="16" t="str">
        <f>IF(AA29&lt;30,"Grey",IF(AA29&lt;50,"Red",IF(AA29&lt;70,"Amber",IF(AA29&gt;=70,"Green"))))</f>
        <v>Red</v>
      </c>
    </row>
    <row r="30" spans="1:28" ht="17.25" thickBot="1" x14ac:dyDescent="0.35">
      <c r="A30" t="s">
        <v>8</v>
      </c>
      <c r="C30" s="2">
        <v>3</v>
      </c>
      <c r="D30" s="2">
        <v>0</v>
      </c>
      <c r="E30" s="2">
        <v>0</v>
      </c>
      <c r="F30" s="2">
        <v>0</v>
      </c>
      <c r="G30" s="2">
        <v>1</v>
      </c>
      <c r="H30" s="2">
        <v>4</v>
      </c>
      <c r="I30" s="2">
        <v>10</v>
      </c>
      <c r="J30" s="2">
        <v>0</v>
      </c>
      <c r="K30" s="2">
        <v>8</v>
      </c>
      <c r="L30" s="2">
        <v>2</v>
      </c>
      <c r="M30" s="2">
        <v>0</v>
      </c>
      <c r="N30" s="2">
        <v>18710000</v>
      </c>
      <c r="O30" s="2">
        <v>3</v>
      </c>
      <c r="P30" s="13">
        <f>H30+I30</f>
        <v>14</v>
      </c>
      <c r="Q30" s="14">
        <f>P30/(C30+D30+E30+F30+G30)</f>
        <v>3.5</v>
      </c>
      <c r="R30" s="14">
        <f>L30/(C30+D30+E30+F30+G30)</f>
        <v>0.5</v>
      </c>
      <c r="S30" s="14">
        <f>M30/(C30+D30+E30+F30+G30)</f>
        <v>0</v>
      </c>
      <c r="T30" s="15">
        <f>IF(D30&gt;2,0,IF(D30=2,5,IF(D30=1,10,IF(D30&lt;1,15))))</f>
        <v>15</v>
      </c>
      <c r="U30" s="15">
        <f>IF(E30&gt;=2,0,IF(E30=1,5,IF(E30=0,10)))</f>
        <v>10</v>
      </c>
      <c r="V30" s="15">
        <f>IF(Q30&lt;0.5,0,IF(Q30&lt;0.75,5,IF(Q30&lt;1,10,IF(Q30&lt;1.2,15,IF(Q30&gt;=1.2,20)))))</f>
        <v>20</v>
      </c>
      <c r="W30" s="15">
        <f>IF(N30&lt;25000000,0,IF(N30&lt;50000000,5,IF(N30&lt;100000000,10,IF(N30&gt;=100000000,15))))</f>
        <v>0</v>
      </c>
      <c r="X30" s="15">
        <f>IF(R30&lt;0.1,0,IF(R30&lt;0.2,5,IF(R30&lt;0.4,10,IF(R30&lt;0.6,15,IF(R30&gt;=0.6,20)))))</f>
        <v>15</v>
      </c>
      <c r="Y30" s="15">
        <f>IF(S30&lt;1,0,IF(S30&lt;2,5,IF(S30&gt;=2,10)))</f>
        <v>0</v>
      </c>
      <c r="Z30" s="15">
        <f>IF(O30&lt;10,0,IF(O30&lt;20,5,IF(O30&gt;=20,10)))</f>
        <v>0</v>
      </c>
      <c r="AA30" s="16">
        <f>SUM(T30:Z30)</f>
        <v>60</v>
      </c>
      <c r="AB30" s="16" t="str">
        <f>IF(AA30&lt;30,"Grey",IF(AA30&lt;50,"Red",IF(AA30&lt;70,"Amber",IF(AA30&gt;=70,"Green"))))</f>
        <v>Amber</v>
      </c>
    </row>
    <row r="31" spans="1:28" ht="17.25" thickBot="1" x14ac:dyDescent="0.35">
      <c r="A31" t="s">
        <v>64</v>
      </c>
      <c r="C31" s="2">
        <v>4</v>
      </c>
      <c r="D31" s="2">
        <v>0</v>
      </c>
      <c r="E31" s="2">
        <v>0</v>
      </c>
      <c r="F31" s="2">
        <v>0</v>
      </c>
      <c r="G31" s="2">
        <v>0</v>
      </c>
      <c r="H31" s="2">
        <v>2</v>
      </c>
      <c r="I31" s="2">
        <v>4</v>
      </c>
      <c r="J31" s="2">
        <v>3</v>
      </c>
      <c r="K31" s="2">
        <v>8</v>
      </c>
      <c r="L31" s="2">
        <v>2</v>
      </c>
      <c r="M31" s="2">
        <v>10</v>
      </c>
      <c r="N31" s="2">
        <v>3700000</v>
      </c>
      <c r="O31" s="2">
        <v>1</v>
      </c>
      <c r="P31" s="13">
        <f>H31+I31</f>
        <v>6</v>
      </c>
      <c r="Q31" s="14">
        <f>P31/(C31+D31+E31+F31+G31)</f>
        <v>1.5</v>
      </c>
      <c r="R31" s="14">
        <f>L31/(C31+D31+E31+F31+G31)</f>
        <v>0.5</v>
      </c>
      <c r="S31" s="14">
        <f>M31/(C31+D31+E31+F31+G31)</f>
        <v>2.5</v>
      </c>
      <c r="T31" s="15">
        <f>IF(D31&gt;2,0,IF(D31=2,5,IF(D31=1,10,IF(D31&lt;1,15))))</f>
        <v>15</v>
      </c>
      <c r="U31" s="15">
        <f>IF(E31&gt;=2,0,IF(E31=1,5,IF(E31=0,10)))</f>
        <v>10</v>
      </c>
      <c r="V31" s="15">
        <f>IF(Q31&lt;0.5,0,IF(Q31&lt;0.75,5,IF(Q31&lt;1,10,IF(Q31&lt;1.2,15,IF(Q31&gt;=1.2,20)))))</f>
        <v>20</v>
      </c>
      <c r="W31" s="15">
        <f>IF(N31&lt;25000000,0,IF(N31&lt;50000000,5,IF(N31&lt;100000000,10,IF(N31&gt;=100000000,15))))</f>
        <v>0</v>
      </c>
      <c r="X31" s="15">
        <f>IF(R31&lt;0.1,0,IF(R31&lt;0.2,5,IF(R31&lt;0.4,10,IF(R31&lt;0.6,15,IF(R31&gt;=0.6,20)))))</f>
        <v>15</v>
      </c>
      <c r="Y31" s="15">
        <f>IF(S31&lt;1,0,IF(S31&lt;2,5,IF(S31&gt;=2,10)))</f>
        <v>10</v>
      </c>
      <c r="Z31" s="15">
        <f>IF(O31&lt;10,0,IF(O31&lt;20,5,IF(O31&gt;=20,10)))</f>
        <v>0</v>
      </c>
      <c r="AA31" s="16">
        <f>SUM(T31:Z31)</f>
        <v>70</v>
      </c>
      <c r="AB31" s="16" t="str">
        <f>IF(AA31&lt;30,"Grey",IF(AA31&lt;50,"Red",IF(AA31&lt;70,"Amber",IF(AA31&gt;=70,"Green"))))</f>
        <v>Green</v>
      </c>
    </row>
    <row r="32" spans="1:28" ht="17.25" thickBot="1" x14ac:dyDescent="0.35">
      <c r="A32" t="s">
        <v>6</v>
      </c>
      <c r="C32" s="1">
        <v>1</v>
      </c>
      <c r="D32" s="1">
        <v>1</v>
      </c>
      <c r="E32" s="1">
        <v>2</v>
      </c>
      <c r="F32" s="1">
        <v>0</v>
      </c>
      <c r="G32" s="1">
        <v>0</v>
      </c>
      <c r="H32" s="1">
        <v>0</v>
      </c>
      <c r="I32" s="1">
        <v>10</v>
      </c>
      <c r="J32" s="1">
        <v>2</v>
      </c>
      <c r="K32" s="1">
        <v>9</v>
      </c>
      <c r="L32" s="1">
        <v>2</v>
      </c>
      <c r="M32" s="1">
        <v>9</v>
      </c>
      <c r="N32" s="1">
        <v>29800000</v>
      </c>
      <c r="O32" s="1">
        <v>10</v>
      </c>
      <c r="P32" s="13">
        <f>H32+I32</f>
        <v>10</v>
      </c>
      <c r="Q32" s="14">
        <f>P32/(C32+D32+E32+F32+G32)</f>
        <v>2.5</v>
      </c>
      <c r="R32" s="14">
        <f>L32/(C32+D32+E32+F32+G32)</f>
        <v>0.5</v>
      </c>
      <c r="S32" s="14">
        <f>M32/(C32+D32+E32+F32+G32)</f>
        <v>2.25</v>
      </c>
      <c r="T32" s="15">
        <f>IF(D32&gt;2,0,IF(D32=2,5,IF(D32=1,10,IF(D32&lt;1,15))))</f>
        <v>10</v>
      </c>
      <c r="U32" s="15">
        <f>IF(E32&gt;=2,0,IF(E32=1,5,IF(E32=0,10)))</f>
        <v>0</v>
      </c>
      <c r="V32" s="15">
        <f>IF(Q32&lt;0.5,0,IF(Q32&lt;0.75,5,IF(Q32&lt;1,10,IF(Q32&lt;1.2,15,IF(Q32&gt;=1.2,20)))))</f>
        <v>20</v>
      </c>
      <c r="W32" s="15">
        <f>IF(N32&lt;25000000,0,IF(N32&lt;50000000,5,IF(N32&lt;100000000,10,IF(N32&gt;=100000000,15))))</f>
        <v>5</v>
      </c>
      <c r="X32" s="15">
        <f>IF(R32&lt;0.1,0,IF(R32&lt;0.2,5,IF(R32&lt;0.4,10,IF(R32&lt;0.6,15,IF(R32&gt;=0.6,20)))))</f>
        <v>15</v>
      </c>
      <c r="Y32" s="15">
        <f>IF(S32&lt;1,0,IF(S32&lt;2,5,IF(S32&gt;=2,10)))</f>
        <v>10</v>
      </c>
      <c r="Z32" s="15">
        <f>IF(O32&lt;10,0,IF(O32&lt;20,5,IF(O32&gt;=20,10)))</f>
        <v>5</v>
      </c>
      <c r="AA32" s="16">
        <f>SUM(T32:Z32)</f>
        <v>65</v>
      </c>
      <c r="AB32" s="16" t="str">
        <f>IF(AA32&lt;30,"Grey",IF(AA32&lt;50,"Red",IF(AA32&lt;70,"Amber",IF(AA32&gt;=70,"Green"))))</f>
        <v>Amber</v>
      </c>
    </row>
    <row r="33" spans="1:28" ht="17.25" thickBot="1" x14ac:dyDescent="0.35">
      <c r="A33" t="s">
        <v>1</v>
      </c>
      <c r="C33" s="1">
        <v>3</v>
      </c>
      <c r="D33" s="1">
        <v>0</v>
      </c>
      <c r="E33" s="1">
        <v>0</v>
      </c>
      <c r="F33" s="1">
        <v>1</v>
      </c>
      <c r="G33" s="1">
        <v>0</v>
      </c>
      <c r="H33" s="1">
        <v>3</v>
      </c>
      <c r="I33" s="1">
        <v>10</v>
      </c>
      <c r="J33" s="1">
        <v>5</v>
      </c>
      <c r="K33" s="1">
        <v>12</v>
      </c>
      <c r="L33" s="1">
        <v>1</v>
      </c>
      <c r="M33" s="1">
        <v>4</v>
      </c>
      <c r="N33" s="1">
        <v>1320000</v>
      </c>
      <c r="O33" s="1">
        <v>4</v>
      </c>
      <c r="P33" s="13">
        <f>H33+I33</f>
        <v>13</v>
      </c>
      <c r="Q33" s="14">
        <f>P33/(C33+D33+E33+F33+G33)</f>
        <v>3.25</v>
      </c>
      <c r="R33" s="14">
        <f>L33/(C33+D33+E33+F33+G33)</f>
        <v>0.25</v>
      </c>
      <c r="S33" s="14">
        <f>M33/(C33+D33+E33+F33+G33)</f>
        <v>1</v>
      </c>
      <c r="T33" s="15">
        <f>IF(D33&gt;2,0,IF(D33=2,5,IF(D33=1,10,IF(D33&lt;1,15))))</f>
        <v>15</v>
      </c>
      <c r="U33" s="15">
        <f>IF(E33&gt;=2,0,IF(E33=1,5,IF(E33=0,10)))</f>
        <v>10</v>
      </c>
      <c r="V33" s="15">
        <f>IF(Q33&lt;0.5,0,IF(Q33&lt;0.75,5,IF(Q33&lt;1,10,IF(Q33&lt;1.2,15,IF(Q33&gt;=1.2,20)))))</f>
        <v>20</v>
      </c>
      <c r="W33" s="15">
        <f>IF(N33&lt;25000000,0,IF(N33&lt;50000000,5,IF(N33&lt;100000000,10,IF(N33&gt;=100000000,15))))</f>
        <v>0</v>
      </c>
      <c r="X33" s="15">
        <f>IF(R33&lt;0.1,0,IF(R33&lt;0.2,5,IF(R33&lt;0.4,10,IF(R33&lt;0.6,15,IF(R33&gt;=0.6,20)))))</f>
        <v>10</v>
      </c>
      <c r="Y33" s="15">
        <f>IF(S33&lt;1,0,IF(S33&lt;2,5,IF(S33&gt;=2,10)))</f>
        <v>5</v>
      </c>
      <c r="Z33" s="15">
        <f>IF(O33&lt;10,0,IF(O33&lt;20,5,IF(O33&gt;=20,10)))</f>
        <v>0</v>
      </c>
      <c r="AA33" s="16">
        <f>SUM(T33:Z33)</f>
        <v>60</v>
      </c>
      <c r="AB33" s="16" t="str">
        <f>IF(AA33&lt;30,"Grey",IF(AA33&lt;50,"Red",IF(AA33&lt;70,"Amber",IF(AA33&gt;=70,"Green"))))</f>
        <v>Amber</v>
      </c>
    </row>
    <row r="34" spans="1:28" ht="17.25" thickBot="1" x14ac:dyDescent="0.35">
      <c r="A34" t="s">
        <v>2</v>
      </c>
      <c r="C34" s="1">
        <v>3</v>
      </c>
      <c r="D34" s="1">
        <v>0</v>
      </c>
      <c r="E34" s="1">
        <v>1</v>
      </c>
      <c r="F34" s="1">
        <v>0</v>
      </c>
      <c r="G34" s="1">
        <v>0</v>
      </c>
      <c r="H34" s="1">
        <v>1</v>
      </c>
      <c r="I34" s="1">
        <v>19</v>
      </c>
      <c r="J34" s="1">
        <v>1</v>
      </c>
      <c r="K34" s="1">
        <v>0</v>
      </c>
      <c r="L34" s="27">
        <v>3</v>
      </c>
      <c r="M34" s="1">
        <v>4</v>
      </c>
      <c r="N34" s="1">
        <v>200000</v>
      </c>
      <c r="O34" s="1">
        <v>3</v>
      </c>
      <c r="P34" s="13">
        <f>H34+I34</f>
        <v>20</v>
      </c>
      <c r="Q34" s="14">
        <f>P34/(C34+D34+E34+F34+G34)</f>
        <v>5</v>
      </c>
      <c r="R34" s="14">
        <f>L34/(C34+D34+E34+F34+G34)</f>
        <v>0.75</v>
      </c>
      <c r="S34" s="14">
        <f>M34/(C34+D34+E34+F34+G34)</f>
        <v>1</v>
      </c>
      <c r="T34" s="15">
        <f>IF(D34&gt;2,0,IF(D34=2,5,IF(D34=1,10,IF(D34&lt;1,15))))</f>
        <v>15</v>
      </c>
      <c r="U34" s="15">
        <f>IF(E34&gt;=2,0,IF(E34=1,5,IF(E34=0,10)))</f>
        <v>5</v>
      </c>
      <c r="V34" s="15">
        <f>IF(Q34&lt;0.5,0,IF(Q34&lt;0.75,5,IF(Q34&lt;1,10,IF(Q34&lt;1.2,15,IF(Q34&gt;=1.2,20)))))</f>
        <v>20</v>
      </c>
      <c r="W34" s="15">
        <f>IF(N34&lt;25000000,0,IF(N34&lt;50000000,5,IF(N34&lt;100000000,10,IF(N34&gt;=100000000,15))))</f>
        <v>0</v>
      </c>
      <c r="X34" s="15">
        <f>IF(R34&lt;0.1,0,IF(R34&lt;0.2,5,IF(R34&lt;0.4,10,IF(R34&lt;0.6,15,IF(R34&gt;=0.6,20)))))</f>
        <v>20</v>
      </c>
      <c r="Y34" s="15">
        <f>IF(S34&lt;1,0,IF(S34&lt;2,5,IF(S34&gt;=2,10)))</f>
        <v>5</v>
      </c>
      <c r="Z34" s="15">
        <f>IF(O34&lt;10,0,IF(O34&lt;20,5,IF(O34&gt;=20,10)))</f>
        <v>0</v>
      </c>
      <c r="AA34" s="16">
        <f>SUM(T34:Z34)</f>
        <v>65</v>
      </c>
      <c r="AB34" s="16" t="str">
        <f>IF(AA34&lt;30,"Grey",IF(AA34&lt;50,"Red",IF(AA34&lt;70,"Amber",IF(AA34&gt;=70,"Green"))))</f>
        <v>Amber</v>
      </c>
    </row>
    <row r="35" spans="1:28" ht="17.25" thickBot="1" x14ac:dyDescent="0.35">
      <c r="A35" t="s">
        <v>3</v>
      </c>
      <c r="C35" s="2">
        <v>3</v>
      </c>
      <c r="D35" s="2">
        <v>1</v>
      </c>
      <c r="E35" s="2">
        <v>0</v>
      </c>
      <c r="F35" s="2">
        <v>0</v>
      </c>
      <c r="G35" s="2">
        <v>0</v>
      </c>
      <c r="H35" s="2">
        <v>4</v>
      </c>
      <c r="I35" s="2">
        <v>11</v>
      </c>
      <c r="J35" s="2">
        <v>0</v>
      </c>
      <c r="K35" s="2">
        <v>0</v>
      </c>
      <c r="L35" s="27">
        <v>3</v>
      </c>
      <c r="M35" s="2">
        <v>11</v>
      </c>
      <c r="N35" s="2">
        <v>209700</v>
      </c>
      <c r="O35" s="2">
        <v>19</v>
      </c>
      <c r="P35" s="13">
        <f>H35+I35</f>
        <v>15</v>
      </c>
      <c r="Q35" s="14">
        <f>P35/(C35+D35+E35+F35+G35)</f>
        <v>3.75</v>
      </c>
      <c r="R35" s="14">
        <f>L35/(C35+D35+E35+F35+G35)</f>
        <v>0.75</v>
      </c>
      <c r="S35" s="14">
        <f>M35/(C35+D35+E35+F35+G35)</f>
        <v>2.75</v>
      </c>
      <c r="T35" s="15">
        <f>IF(D35&gt;2,0,IF(D35=2,5,IF(D35=1,10,IF(D35&lt;1,15))))</f>
        <v>10</v>
      </c>
      <c r="U35" s="15">
        <f>IF(E35&gt;=2,0,IF(E35=1,5,IF(E35=0,10)))</f>
        <v>10</v>
      </c>
      <c r="V35" s="15">
        <f>IF(Q35&lt;0.5,0,IF(Q35&lt;0.75,5,IF(Q35&lt;1,10,IF(Q35&lt;1.2,15,IF(Q35&gt;=1.2,20)))))</f>
        <v>20</v>
      </c>
      <c r="W35" s="15">
        <f>IF(N35&lt;25000000,0,IF(N35&lt;50000000,5,IF(N35&lt;100000000,10,IF(N35&gt;=100000000,15))))</f>
        <v>0</v>
      </c>
      <c r="X35" s="15">
        <f>IF(R35&lt;0.1,0,IF(R35&lt;0.2,5,IF(R35&lt;0.4,10,IF(R35&lt;0.6,15,IF(R35&gt;=0.6,20)))))</f>
        <v>20</v>
      </c>
      <c r="Y35" s="15">
        <f>IF(S35&lt;1,0,IF(S35&lt;2,5,IF(S35&gt;=2,10)))</f>
        <v>10</v>
      </c>
      <c r="Z35" s="15">
        <f>IF(O35&lt;10,0,IF(O35&lt;20,5,IF(O35&gt;=20,10)))</f>
        <v>5</v>
      </c>
      <c r="AA35" s="16">
        <f>SUM(T35:Z35)</f>
        <v>75</v>
      </c>
      <c r="AB35" s="16" t="str">
        <f>IF(AA35&lt;30,"Grey",IF(AA35&lt;50,"Red",IF(AA35&lt;70,"Amber",IF(AA35&gt;=70,"Green"))))</f>
        <v>Green</v>
      </c>
    </row>
    <row r="36" spans="1:28" ht="17.25" thickBot="1" x14ac:dyDescent="0.35">
      <c r="A36" t="s">
        <v>3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3">
        <f>H36+I36</f>
        <v>0</v>
      </c>
      <c r="Q36" s="14">
        <f>P36/(C36+D36+E36+F36+G36)</f>
        <v>0</v>
      </c>
      <c r="R36" s="14">
        <f>L36/(C36+D36+E36+F36+G36)</f>
        <v>0</v>
      </c>
      <c r="S36" s="14">
        <f>M36/(C36+D36+E36+F36+G36)</f>
        <v>0</v>
      </c>
      <c r="T36" s="15">
        <f>IF(D36&gt;2,0,IF(D36=2,5,IF(D36=1,10,IF(D36&lt;1,15))))</f>
        <v>15</v>
      </c>
      <c r="U36" s="15">
        <f>IF(E36&gt;=2,0,IF(E36=1,5,IF(E36=0,10)))</f>
        <v>10</v>
      </c>
      <c r="V36" s="15">
        <f>IF(Q36&lt;0.5,0,IF(Q36&lt;0.75,5,IF(Q36&lt;1,10,IF(Q36&lt;1.2,15,IF(Q36&gt;=1.2,20)))))</f>
        <v>0</v>
      </c>
      <c r="W36" s="15">
        <f>IF(N36&lt;25000000,0,IF(N36&lt;50000000,5,IF(N36&lt;100000000,10,IF(N36&gt;=100000000,15))))</f>
        <v>0</v>
      </c>
      <c r="X36" s="15">
        <f>IF(R36&lt;0.1,0,IF(R36&lt;0.2,5,IF(R36&lt;0.4,10,IF(R36&lt;0.6,15,IF(R36&gt;=0.6,20)))))</f>
        <v>0</v>
      </c>
      <c r="Y36" s="15">
        <f>IF(S36&lt;1,0,IF(S36&lt;2,5,IF(S36&gt;=2,10)))</f>
        <v>0</v>
      </c>
      <c r="Z36" s="15">
        <f>IF(O36&lt;10,0,IF(O36&lt;20,5,IF(O36&gt;=20,10)))</f>
        <v>0</v>
      </c>
      <c r="AA36" s="16">
        <f>SUM(T36:Z36)</f>
        <v>25</v>
      </c>
      <c r="AB36" s="16" t="str">
        <f>IF(AA36&lt;30,"Grey",IF(AA36&lt;50,"Red",IF(AA36&lt;70,"Amber",IF(AA36&gt;=70,"Green"))))</f>
        <v>Grey</v>
      </c>
    </row>
    <row r="37" spans="1:28" ht="17.25" thickBot="1" x14ac:dyDescent="0.35">
      <c r="A37" t="s">
        <v>4</v>
      </c>
      <c r="C37" s="2">
        <v>3</v>
      </c>
      <c r="D37" s="2">
        <v>0</v>
      </c>
      <c r="E37" s="2">
        <v>1</v>
      </c>
      <c r="F37" s="2">
        <v>0</v>
      </c>
      <c r="G37" s="2">
        <v>0</v>
      </c>
      <c r="H37" s="2">
        <v>3</v>
      </c>
      <c r="I37" s="2">
        <v>0</v>
      </c>
      <c r="J37" s="2">
        <v>0</v>
      </c>
      <c r="K37" s="2">
        <v>3</v>
      </c>
      <c r="L37" s="2">
        <v>2</v>
      </c>
      <c r="M37" s="2">
        <v>3</v>
      </c>
      <c r="N37" s="2">
        <v>5460000</v>
      </c>
      <c r="O37" s="2">
        <v>0</v>
      </c>
      <c r="P37" s="13">
        <f>H37+I37</f>
        <v>3</v>
      </c>
      <c r="Q37" s="14">
        <f>P37/(C37+D37+E37+F37+G37)</f>
        <v>0.75</v>
      </c>
      <c r="R37" s="14">
        <f>L37/(C37+D37+E37+F37+G37)</f>
        <v>0.5</v>
      </c>
      <c r="S37" s="14">
        <f>M37/(C37+D37+E37+F37+G37)</f>
        <v>0.75</v>
      </c>
      <c r="T37" s="15">
        <f>IF(D37&gt;2,0,IF(D37=2,5,IF(D37=1,10,IF(D37&lt;1,15))))</f>
        <v>15</v>
      </c>
      <c r="U37" s="15">
        <f>IF(E37&gt;=2,0,IF(E37=1,5,IF(E37=0,10)))</f>
        <v>5</v>
      </c>
      <c r="V37" s="15">
        <f>IF(Q37&lt;0.5,0,IF(Q37&lt;0.75,5,IF(Q37&lt;1,10,IF(Q37&lt;1.2,15,IF(Q37&gt;=1.2,20)))))</f>
        <v>10</v>
      </c>
      <c r="W37" s="15">
        <f>IF(N37&lt;25000000,0,IF(N37&lt;50000000,5,IF(N37&lt;100000000,10,IF(N37&gt;=100000000,15))))</f>
        <v>0</v>
      </c>
      <c r="X37" s="15">
        <f>IF(R37&lt;0.1,0,IF(R37&lt;0.2,5,IF(R37&lt;0.4,10,IF(R37&lt;0.6,15,IF(R37&gt;=0.6,20)))))</f>
        <v>15</v>
      </c>
      <c r="Y37" s="15">
        <f>IF(S37&lt;1,0,IF(S37&lt;2,5,IF(S37&gt;=2,10)))</f>
        <v>0</v>
      </c>
      <c r="Z37" s="15">
        <f>IF(O37&lt;10,0,IF(O37&lt;20,5,IF(O37&gt;=20,10)))</f>
        <v>0</v>
      </c>
      <c r="AA37" s="16">
        <f>SUM(T37:Z37)</f>
        <v>45</v>
      </c>
      <c r="AB37" s="16" t="str">
        <f>IF(AA37&lt;30,"Grey",IF(AA37&lt;50,"Red",IF(AA37&lt;70,"Amber",IF(AA37&gt;=70,"Green"))))</f>
        <v>Red</v>
      </c>
    </row>
    <row r="38" spans="1:28" ht="17.25" thickBot="1" x14ac:dyDescent="0.35">
      <c r="A38" t="s">
        <v>5</v>
      </c>
      <c r="C38" s="1">
        <v>4</v>
      </c>
      <c r="D38" s="1">
        <v>0</v>
      </c>
      <c r="E38" s="1">
        <v>0</v>
      </c>
      <c r="F38" s="1">
        <v>0</v>
      </c>
      <c r="G38" s="1">
        <v>0</v>
      </c>
      <c r="H38" s="1">
        <v>6</v>
      </c>
      <c r="I38" s="1">
        <v>3</v>
      </c>
      <c r="J38" s="1">
        <v>2</v>
      </c>
      <c r="K38" s="1">
        <v>5</v>
      </c>
      <c r="L38" s="1">
        <v>2</v>
      </c>
      <c r="M38" s="1">
        <v>6</v>
      </c>
      <c r="N38" s="1">
        <v>1045000</v>
      </c>
      <c r="O38" s="1">
        <v>7</v>
      </c>
      <c r="P38" s="13">
        <f>H38+I38</f>
        <v>9</v>
      </c>
      <c r="Q38" s="14">
        <f>P38/(C38+D38+E38+F38+G38)</f>
        <v>2.25</v>
      </c>
      <c r="R38" s="14">
        <f>L38/(C38+D38+E38+F38+G38)</f>
        <v>0.5</v>
      </c>
      <c r="S38" s="14">
        <f>M38/(C38+D38+E38+F38+G38)</f>
        <v>1.5</v>
      </c>
      <c r="T38" s="15">
        <f>IF(D38&gt;2,0,IF(D38=2,5,IF(D38=1,10,IF(D38&lt;1,15))))</f>
        <v>15</v>
      </c>
      <c r="U38" s="15">
        <f>IF(E38&gt;=2,0,IF(E38=1,5,IF(E38=0,10)))</f>
        <v>10</v>
      </c>
      <c r="V38" s="15">
        <f>IF(Q38&lt;0.5,0,IF(Q38&lt;0.75,5,IF(Q38&lt;1,10,IF(Q38&lt;1.2,15,IF(Q38&gt;=1.2,20)))))</f>
        <v>20</v>
      </c>
      <c r="W38" s="15">
        <f>IF(N38&lt;25000000,0,IF(N38&lt;50000000,5,IF(N38&lt;100000000,10,IF(N38&gt;=100000000,15))))</f>
        <v>0</v>
      </c>
      <c r="X38" s="15">
        <f>IF(R38&lt;0.1,0,IF(R38&lt;0.2,5,IF(R38&lt;0.4,10,IF(R38&lt;0.6,15,IF(R38&gt;=0.6,20)))))</f>
        <v>15</v>
      </c>
      <c r="Y38" s="15">
        <f>IF(S38&lt;1,0,IF(S38&lt;2,5,IF(S38&gt;=2,10)))</f>
        <v>5</v>
      </c>
      <c r="Z38" s="15">
        <f>IF(O38&lt;10,0,IF(O38&lt;20,5,IF(O38&gt;=20,10)))</f>
        <v>0</v>
      </c>
      <c r="AA38" s="16">
        <f>SUM(T38:Z38)</f>
        <v>65</v>
      </c>
      <c r="AB38" s="16" t="str">
        <f>IF(AA38&lt;30,"Grey",IF(AA38&lt;50,"Red",IF(AA38&lt;70,"Amber",IF(AA38&gt;=70,"Green"))))</f>
        <v>Amber</v>
      </c>
    </row>
  </sheetData>
  <autoFilter ref="A2:AB2" xr:uid="{347B5CC9-DEFF-4103-B19C-53E79EB828CC}">
    <sortState xmlns:xlrd2="http://schemas.microsoft.com/office/spreadsheetml/2017/richdata2" ref="A3:AB38">
      <sortCondition ref="A2"/>
    </sortState>
  </autoFilter>
  <phoneticPr fontId="5" type="noConversion"/>
  <conditionalFormatting sqref="AA3:AA35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9C67-BFA9-4DFA-8491-00E5B0468CAA}">
  <dimension ref="A1:AB35"/>
  <sheetViews>
    <sheetView workbookViewId="0">
      <selection sqref="A1:XFD1048576"/>
    </sheetView>
  </sheetViews>
  <sheetFormatPr defaultRowHeight="16.5" x14ac:dyDescent="0.3"/>
  <cols>
    <col min="1" max="1" width="10.75" customWidth="1"/>
    <col min="2" max="2" width="6.375" customWidth="1"/>
    <col min="3" max="13" width="4.875" customWidth="1"/>
    <col min="14" max="14" width="10" style="20" bestFit="1" customWidth="1"/>
    <col min="15" max="15" width="4.875" customWidth="1"/>
    <col min="16" max="26" width="5.125" customWidth="1"/>
  </cols>
  <sheetData>
    <row r="1" spans="1:28" x14ac:dyDescent="0.3">
      <c r="A1" s="17" t="s">
        <v>61</v>
      </c>
      <c r="B1" s="17"/>
    </row>
    <row r="2" spans="1:28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8" ht="17.25" thickBot="1" x14ac:dyDescent="0.35">
      <c r="A3" t="s">
        <v>67</v>
      </c>
      <c r="C3" s="2">
        <v>4</v>
      </c>
      <c r="D3" s="2">
        <v>0</v>
      </c>
      <c r="E3" s="2">
        <v>0</v>
      </c>
      <c r="F3" s="2">
        <v>0</v>
      </c>
      <c r="G3" s="2">
        <v>0</v>
      </c>
      <c r="H3" s="2">
        <v>4</v>
      </c>
      <c r="I3" s="2">
        <v>3</v>
      </c>
      <c r="J3" s="2">
        <v>5</v>
      </c>
      <c r="K3" s="2">
        <v>11</v>
      </c>
      <c r="L3" s="2">
        <v>0</v>
      </c>
      <c r="M3" s="2">
        <v>15</v>
      </c>
      <c r="N3" s="18">
        <v>9200000</v>
      </c>
      <c r="O3" s="2">
        <v>4</v>
      </c>
      <c r="P3" s="13">
        <f>H3+I3</f>
        <v>7</v>
      </c>
      <c r="Q3" s="14">
        <f>P3/(C3+D3+E3+F3+G3)</f>
        <v>1.75</v>
      </c>
      <c r="R3" s="14">
        <f>L3/(C3+D3+E3+F3+G3)</f>
        <v>0</v>
      </c>
      <c r="S3" s="14">
        <f>M3/(C3+D3+E3+F3+G3)</f>
        <v>3.75</v>
      </c>
      <c r="T3" s="15">
        <f>IF(D3&gt;2,0,IF(D3=2,5,IF(D3=1,10,IF(D3&lt;1,15))))</f>
        <v>15</v>
      </c>
      <c r="U3" s="15">
        <f>IF(E3&gt;=2,0,IF(E3=1,5,IF(E3=0,10)))</f>
        <v>10</v>
      </c>
      <c r="V3" s="15">
        <f>IF(Q3&lt;0.5,0,IF(Q3&lt;0.75,5,IF(Q3&lt;1,10,IF(Q3&lt;1.2,15,IF(Q3&gt;=1.2,20)))))</f>
        <v>20</v>
      </c>
      <c r="W3" s="15">
        <f>IF(N3&lt;25000000,0,IF(N3&lt;50000000,5,IF(N3&lt;100000000,10,IF(N3&gt;=100000000,15))))</f>
        <v>0</v>
      </c>
      <c r="X3" s="15">
        <f>IF(R3&lt;0.1,0,IF(R3&lt;0.2,5,IF(R3&lt;0.4,10,IF(R3&lt;0.6,15,IF(R3&gt;=0.6,20)))))</f>
        <v>0</v>
      </c>
      <c r="Y3" s="15">
        <f>IF(S3&lt;1,0,IF(S3&lt;2,5,IF(S3&gt;=2,10)))</f>
        <v>10</v>
      </c>
      <c r="Z3" s="15">
        <f>IF(O3&lt;10,0,IF(O3&lt;20,5,IF(O3&gt;=20,10)))</f>
        <v>0</v>
      </c>
      <c r="AA3" s="16">
        <f>SUM(T3:Z3)</f>
        <v>55</v>
      </c>
      <c r="AB3" s="16" t="str">
        <f>IF(AA3&lt;30,"Grey",IF(AA3&lt;50,"Red",IF(AA3&lt;70,"Amber",IF(AA3&gt;=70,"Green"))))</f>
        <v>Amber</v>
      </c>
    </row>
    <row r="4" spans="1:28" ht="17.25" thickBot="1" x14ac:dyDescent="0.35">
      <c r="A4" t="s">
        <v>69</v>
      </c>
      <c r="C4" s="2">
        <v>4</v>
      </c>
      <c r="D4" s="2">
        <v>0</v>
      </c>
      <c r="E4" s="2">
        <v>0</v>
      </c>
      <c r="F4" s="2">
        <v>0</v>
      </c>
      <c r="G4" s="2">
        <v>0</v>
      </c>
      <c r="H4" s="2">
        <v>4</v>
      </c>
      <c r="I4" s="2">
        <v>1</v>
      </c>
      <c r="J4" s="2">
        <v>0</v>
      </c>
      <c r="K4" s="2">
        <v>1</v>
      </c>
      <c r="L4" s="2">
        <v>0</v>
      </c>
      <c r="M4" s="2">
        <v>1</v>
      </c>
      <c r="N4" s="18">
        <v>2436300</v>
      </c>
      <c r="O4" s="2">
        <v>0</v>
      </c>
      <c r="P4" s="13">
        <f>H4+I4</f>
        <v>5</v>
      </c>
      <c r="Q4" s="14">
        <f>P4/(C4+D4+E4+F4+G4)</f>
        <v>1.25</v>
      </c>
      <c r="R4" s="14">
        <f>L4/(C4+D4+E4+F4+G4)</f>
        <v>0</v>
      </c>
      <c r="S4" s="14">
        <f>M4/(C4+D4+E4+F4+G4)</f>
        <v>0.25</v>
      </c>
      <c r="T4" s="15">
        <f>IF(D4&gt;2,0,IF(D4=2,5,IF(D4=1,10,IF(D4&lt;1,15))))</f>
        <v>15</v>
      </c>
      <c r="U4" s="15">
        <f>IF(E4&gt;=2,0,IF(E4=1,5,IF(E4=0,10)))</f>
        <v>10</v>
      </c>
      <c r="V4" s="15">
        <f>IF(Q4&lt;0.5,0,IF(Q4&lt;0.75,5,IF(Q4&lt;1,10,IF(Q4&lt;1.2,15,IF(Q4&gt;=1.2,20)))))</f>
        <v>20</v>
      </c>
      <c r="W4" s="15">
        <f>IF(N4&lt;25000000,0,IF(N4&lt;50000000,5,IF(N4&lt;100000000,10,IF(N4&gt;=100000000,15))))</f>
        <v>0</v>
      </c>
      <c r="X4" s="15">
        <f>IF(R4&lt;0.1,0,IF(R4&lt;0.2,5,IF(R4&lt;0.4,10,IF(R4&lt;0.6,15,IF(R4&gt;=0.6,20)))))</f>
        <v>0</v>
      </c>
      <c r="Y4" s="15">
        <f>IF(S4&lt;1,0,IF(S4&lt;2,5,IF(S4&gt;=2,10)))</f>
        <v>0</v>
      </c>
      <c r="Z4" s="15">
        <f>IF(O4&lt;10,0,IF(O4&lt;20,5,IF(O4&gt;=20,10)))</f>
        <v>0</v>
      </c>
      <c r="AA4" s="16">
        <f>SUM(T4:Z4)</f>
        <v>45</v>
      </c>
      <c r="AB4" s="16" t="str">
        <f>IF(AA4&lt;30,"Grey",IF(AA4&lt;50,"Red",IF(AA4&lt;70,"Amber",IF(AA4&gt;=70,"Green"))))</f>
        <v>Red</v>
      </c>
    </row>
    <row r="5" spans="1:28" ht="17.25" thickBot="1" x14ac:dyDescent="0.35">
      <c r="A5" t="s">
        <v>17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4</v>
      </c>
      <c r="J5" s="1">
        <v>0</v>
      </c>
      <c r="K5" s="1">
        <v>2</v>
      </c>
      <c r="L5" s="1">
        <v>0</v>
      </c>
      <c r="M5" s="1">
        <v>7</v>
      </c>
      <c r="N5" s="28">
        <v>1034500</v>
      </c>
      <c r="O5" s="1">
        <v>9</v>
      </c>
      <c r="P5" s="13">
        <f>H5+I5</f>
        <v>6</v>
      </c>
      <c r="Q5" s="14">
        <f>P5/(C5+D5+E5+F5+G5)</f>
        <v>1.5</v>
      </c>
      <c r="R5" s="14">
        <f>L5/(C5+D5+E5+F5+G5)</f>
        <v>0</v>
      </c>
      <c r="S5" s="14">
        <f>M5/(C5+D5+E5+F5+G5)</f>
        <v>1.75</v>
      </c>
      <c r="T5" s="15">
        <f>IF(D5&gt;2,0,IF(D5=2,5,IF(D5=1,10,IF(D5&lt;1,15))))</f>
        <v>15</v>
      </c>
      <c r="U5" s="15">
        <f>IF(E5&gt;=2,0,IF(E5=1,5,IF(E5=0,10)))</f>
        <v>10</v>
      </c>
      <c r="V5" s="15">
        <f>IF(Q5&lt;0.5,0,IF(Q5&lt;0.75,5,IF(Q5&lt;1,10,IF(Q5&lt;1.2,15,IF(Q5&gt;=1.2,20)))))</f>
        <v>20</v>
      </c>
      <c r="W5" s="15">
        <f>IF(N5&lt;25000000,0,IF(N5&lt;50000000,5,IF(N5&lt;100000000,10,IF(N5&gt;=100000000,15))))</f>
        <v>0</v>
      </c>
      <c r="X5" s="15">
        <f>IF(R5&lt;0.1,0,IF(R5&lt;0.2,5,IF(R5&lt;0.4,10,IF(R5&lt;0.6,15,IF(R5&gt;=0.6,20)))))</f>
        <v>0</v>
      </c>
      <c r="Y5" s="15">
        <f>IF(S5&lt;1,0,IF(S5&lt;2,5,IF(S5&gt;=2,10)))</f>
        <v>5</v>
      </c>
      <c r="Z5" s="15">
        <f>IF(O5&lt;10,0,IF(O5&lt;20,5,IF(O5&gt;=20,10)))</f>
        <v>0</v>
      </c>
      <c r="AA5" s="16">
        <f>SUM(T5:Z5)</f>
        <v>50</v>
      </c>
      <c r="AB5" s="16" t="str">
        <f>IF(AA5&lt;30,"Grey",IF(AA5&lt;50,"Red",IF(AA5&lt;70,"Amber",IF(AA5&gt;=70,"Green"))))</f>
        <v>Amber</v>
      </c>
    </row>
    <row r="6" spans="1:28" ht="17.25" thickBot="1" x14ac:dyDescent="0.35">
      <c r="A6" t="s">
        <v>15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7</v>
      </c>
      <c r="J6" s="1">
        <v>0</v>
      </c>
      <c r="K6" s="1">
        <v>3</v>
      </c>
      <c r="L6" s="1">
        <v>0</v>
      </c>
      <c r="M6" s="1">
        <v>16</v>
      </c>
      <c r="N6" s="28">
        <v>1100000</v>
      </c>
      <c r="O6" s="1">
        <v>5</v>
      </c>
      <c r="P6" s="13">
        <f>H6+I6</f>
        <v>7</v>
      </c>
      <c r="Q6" s="14">
        <f>P6/(C6+D6+E6+F6+G6)</f>
        <v>1.75</v>
      </c>
      <c r="R6" s="14">
        <f>L6/(C6+D6+E6+F6+G6)</f>
        <v>0</v>
      </c>
      <c r="S6" s="14">
        <f>M6/(C6+D6+E6+F6+G6)</f>
        <v>4</v>
      </c>
      <c r="T6" s="15">
        <f>IF(D6&gt;2,0,IF(D6=2,5,IF(D6=1,10,IF(D6&lt;1,15))))</f>
        <v>15</v>
      </c>
      <c r="U6" s="15">
        <f>IF(E6&gt;=2,0,IF(E6=1,5,IF(E6=0,10)))</f>
        <v>10</v>
      </c>
      <c r="V6" s="15">
        <f>IF(Q6&lt;0.5,0,IF(Q6&lt;0.75,5,IF(Q6&lt;1,10,IF(Q6&lt;1.2,15,IF(Q6&gt;=1.2,20)))))</f>
        <v>20</v>
      </c>
      <c r="W6" s="15">
        <f>IF(N6&lt;25000000,0,IF(N6&lt;50000000,5,IF(N6&lt;100000000,10,IF(N6&gt;=100000000,15))))</f>
        <v>0</v>
      </c>
      <c r="X6" s="15">
        <f>IF(R6&lt;0.1,0,IF(R6&lt;0.2,5,IF(R6&lt;0.4,10,IF(R6&lt;0.6,15,IF(R6&gt;=0.6,20)))))</f>
        <v>0</v>
      </c>
      <c r="Y6" s="15">
        <f>IF(S6&lt;1,0,IF(S6&lt;2,5,IF(S6&gt;=2,10)))</f>
        <v>10</v>
      </c>
      <c r="Z6" s="15">
        <f>IF(O6&lt;10,0,IF(O6&lt;20,5,IF(O6&gt;=20,10)))</f>
        <v>0</v>
      </c>
      <c r="AA6" s="16">
        <f>SUM(T6:Z6)</f>
        <v>55</v>
      </c>
      <c r="AB6" s="16" t="str">
        <f>IF(AA6&lt;30,"Grey",IF(AA6&lt;50,"Red",IF(AA6&lt;70,"Amber",IF(AA6&gt;=70,"Green"))))</f>
        <v>Amber</v>
      </c>
    </row>
    <row r="7" spans="1:28" ht="17.25" thickBot="1" x14ac:dyDescent="0.35">
      <c r="A7" t="s">
        <v>66</v>
      </c>
      <c r="C7" s="2">
        <v>3</v>
      </c>
      <c r="D7" s="2">
        <v>0</v>
      </c>
      <c r="E7" s="2">
        <v>0</v>
      </c>
      <c r="F7" s="2">
        <v>0</v>
      </c>
      <c r="G7" s="2">
        <v>1</v>
      </c>
      <c r="H7" s="2">
        <v>1</v>
      </c>
      <c r="I7" s="2">
        <v>5</v>
      </c>
      <c r="J7" s="2">
        <v>3</v>
      </c>
      <c r="K7" s="2">
        <v>6</v>
      </c>
      <c r="L7" s="2">
        <v>1</v>
      </c>
      <c r="M7" s="2">
        <v>4</v>
      </c>
      <c r="N7" s="29">
        <v>18100000</v>
      </c>
      <c r="O7" s="2">
        <v>3</v>
      </c>
      <c r="P7" s="13">
        <f>H7+I7</f>
        <v>6</v>
      </c>
      <c r="Q7" s="14">
        <f>P7/(C7+D7+E7+F7+G7)</f>
        <v>1.5</v>
      </c>
      <c r="R7" s="14">
        <f>L7/(C7+D7+E7+F7+G7)</f>
        <v>0.25</v>
      </c>
      <c r="S7" s="14">
        <f>M7/(C7+D7+E7+F7+G7)</f>
        <v>1</v>
      </c>
      <c r="T7" s="15">
        <f>IF(D7&gt;2,0,IF(D7=2,5,IF(D7=1,10,IF(D7&lt;1,15))))</f>
        <v>15</v>
      </c>
      <c r="U7" s="15">
        <f>IF(E7&gt;=2,0,IF(E7=1,5,IF(E7=0,10)))</f>
        <v>10</v>
      </c>
      <c r="V7" s="15">
        <f>IF(Q7&lt;0.5,0,IF(Q7&lt;0.75,5,IF(Q7&lt;1,10,IF(Q7&lt;1.2,15,IF(Q7&gt;=1.2,20)))))</f>
        <v>20</v>
      </c>
      <c r="W7" s="15">
        <f>IF(N7&lt;25000000,0,IF(N7&lt;50000000,5,IF(N7&lt;100000000,10,IF(N7&gt;=100000000,15))))</f>
        <v>0</v>
      </c>
      <c r="X7" s="15">
        <f>IF(R7&lt;0.1,0,IF(R7&lt;0.2,5,IF(R7&lt;0.4,10,IF(R7&lt;0.6,15,IF(R7&gt;=0.6,20)))))</f>
        <v>10</v>
      </c>
      <c r="Y7" s="15">
        <f>IF(S7&lt;1,0,IF(S7&lt;2,5,IF(S7&gt;=2,10)))</f>
        <v>5</v>
      </c>
      <c r="Z7" s="15">
        <f>IF(O7&lt;10,0,IF(O7&lt;20,5,IF(O7&gt;=20,10)))</f>
        <v>0</v>
      </c>
      <c r="AA7" s="16">
        <f>SUM(T7:Z7)</f>
        <v>60</v>
      </c>
      <c r="AB7" s="16" t="str">
        <f>IF(AA7&lt;30,"Grey",IF(AA7&lt;50,"Red",IF(AA7&lt;70,"Amber",IF(AA7&gt;=70,"Green"))))</f>
        <v>Amber</v>
      </c>
    </row>
    <row r="8" spans="1:28" ht="17.25" thickBot="1" x14ac:dyDescent="0.35">
      <c r="A8" t="s">
        <v>9</v>
      </c>
      <c r="C8" s="2">
        <v>4</v>
      </c>
      <c r="D8" s="2">
        <v>0</v>
      </c>
      <c r="E8" s="2">
        <v>0</v>
      </c>
      <c r="F8" s="2">
        <v>0</v>
      </c>
      <c r="G8" s="2">
        <v>0</v>
      </c>
      <c r="H8" s="2">
        <v>3</v>
      </c>
      <c r="I8" s="2">
        <v>2</v>
      </c>
      <c r="J8" s="2">
        <v>3</v>
      </c>
      <c r="K8" s="2">
        <v>8</v>
      </c>
      <c r="L8" s="2">
        <v>0</v>
      </c>
      <c r="M8" s="2">
        <v>5</v>
      </c>
      <c r="N8" s="18">
        <v>610000</v>
      </c>
      <c r="O8" s="2">
        <v>5</v>
      </c>
      <c r="P8" s="13">
        <f>H8+I8</f>
        <v>5</v>
      </c>
      <c r="Q8" s="14">
        <f>P8/(C8+D8+E8+F8+G8)</f>
        <v>1.25</v>
      </c>
      <c r="R8" s="14">
        <f>L8/(C8+D8+E8+F8+G8)</f>
        <v>0</v>
      </c>
      <c r="S8" s="14">
        <f>M8/(C8+D8+E8+F8+G8)</f>
        <v>1.25</v>
      </c>
      <c r="T8" s="15">
        <f>IF(D8&gt;2,0,IF(D8=2,5,IF(D8=1,10,IF(D8&lt;1,15))))</f>
        <v>15</v>
      </c>
      <c r="U8" s="15">
        <f>IF(E8&gt;=2,0,IF(E8=1,5,IF(E8=0,10)))</f>
        <v>10</v>
      </c>
      <c r="V8" s="15">
        <f>IF(Q8&lt;0.5,0,IF(Q8&lt;0.75,5,IF(Q8&lt;1,10,IF(Q8&lt;1.2,15,IF(Q8&gt;=1.2,20)))))</f>
        <v>20</v>
      </c>
      <c r="W8" s="15">
        <f>IF(N8&lt;25000000,0,IF(N8&lt;50000000,5,IF(N8&lt;100000000,10,IF(N8&gt;=100000000,15))))</f>
        <v>0</v>
      </c>
      <c r="X8" s="15">
        <f>IF(R8&lt;0.1,0,IF(R8&lt;0.2,5,IF(R8&lt;0.4,10,IF(R8&lt;0.6,15,IF(R8&gt;=0.6,20)))))</f>
        <v>0</v>
      </c>
      <c r="Y8" s="15">
        <f>IF(S8&lt;1,0,IF(S8&lt;2,5,IF(S8&gt;=2,10)))</f>
        <v>5</v>
      </c>
      <c r="Z8" s="15">
        <f>IF(O8&lt;10,0,IF(O8&lt;20,5,IF(O8&gt;=20,10)))</f>
        <v>0</v>
      </c>
      <c r="AA8" s="16">
        <f>SUM(T8:Z8)</f>
        <v>50</v>
      </c>
      <c r="AB8" s="16" t="str">
        <f>IF(AA8&lt;30,"Grey",IF(AA8&lt;50,"Red",IF(AA8&lt;70,"Amber",IF(AA8&gt;=70,"Green"))))</f>
        <v>Amber</v>
      </c>
    </row>
    <row r="9" spans="1:28" ht="17.25" thickBot="1" x14ac:dyDescent="0.35">
      <c r="A9" t="s">
        <v>13</v>
      </c>
      <c r="C9" s="2">
        <v>3</v>
      </c>
      <c r="D9" s="2">
        <v>0</v>
      </c>
      <c r="E9" s="2">
        <v>1</v>
      </c>
      <c r="F9" s="2">
        <v>0</v>
      </c>
      <c r="G9" s="2">
        <v>0</v>
      </c>
      <c r="H9" s="2">
        <v>2</v>
      </c>
      <c r="I9" s="2">
        <v>6</v>
      </c>
      <c r="J9" s="2">
        <v>13</v>
      </c>
      <c r="K9" s="2">
        <v>4</v>
      </c>
      <c r="L9" s="2">
        <v>0</v>
      </c>
      <c r="M9" s="2">
        <v>4</v>
      </c>
      <c r="N9" s="18">
        <v>12758000</v>
      </c>
      <c r="O9" s="2">
        <v>5</v>
      </c>
      <c r="P9" s="13">
        <f>H9+I9</f>
        <v>8</v>
      </c>
      <c r="Q9" s="14">
        <f>P9/(C9+D9+E9+F9+G9)</f>
        <v>2</v>
      </c>
      <c r="R9" s="14">
        <f>L9/(C9+D9+E9+F9+G9)</f>
        <v>0</v>
      </c>
      <c r="S9" s="14">
        <f>M9/(C9+D9+E9+F9+G9)</f>
        <v>1</v>
      </c>
      <c r="T9" s="15">
        <f>IF(D9&gt;2,0,IF(D9=2,5,IF(D9=1,10,IF(D9&lt;1,15))))</f>
        <v>15</v>
      </c>
      <c r="U9" s="15">
        <f>IF(E9&gt;=2,0,IF(E9=1,5,IF(E9=0,10)))</f>
        <v>5</v>
      </c>
      <c r="V9" s="15">
        <f>IF(Q9&lt;0.5,0,IF(Q9&lt;0.75,5,IF(Q9&lt;1,10,IF(Q9&lt;1.2,15,IF(Q9&gt;=1.2,20)))))</f>
        <v>20</v>
      </c>
      <c r="W9" s="15">
        <f>IF(N9&lt;25000000,0,IF(N9&lt;50000000,5,IF(N9&lt;100000000,10,IF(N9&gt;=100000000,15))))</f>
        <v>0</v>
      </c>
      <c r="X9" s="15">
        <f>IF(R9&lt;0.1,0,IF(R9&lt;0.2,5,IF(R9&lt;0.4,10,IF(R9&lt;0.6,15,IF(R9&gt;=0.6,20)))))</f>
        <v>0</v>
      </c>
      <c r="Y9" s="15">
        <f>IF(S9&lt;1,0,IF(S9&lt;2,5,IF(S9&gt;=2,10)))</f>
        <v>5</v>
      </c>
      <c r="Z9" s="15">
        <f>IF(O9&lt;10,0,IF(O9&lt;20,5,IF(O9&gt;=20,10)))</f>
        <v>0</v>
      </c>
      <c r="AA9" s="16">
        <f>SUM(T9:Z9)</f>
        <v>45</v>
      </c>
      <c r="AB9" s="16" t="str">
        <f>IF(AA9&lt;30,"Grey",IF(AA9&lt;50,"Red",IF(AA9&lt;70,"Amber",IF(AA9&gt;=70,"Green"))))</f>
        <v>Red</v>
      </c>
    </row>
    <row r="10" spans="1:28" ht="17.25" thickBot="1" x14ac:dyDescent="0.35">
      <c r="A10" t="s">
        <v>65</v>
      </c>
      <c r="C10" s="1">
        <v>4</v>
      </c>
      <c r="D10" s="1">
        <v>0</v>
      </c>
      <c r="E10" s="1">
        <v>0</v>
      </c>
      <c r="F10" s="1">
        <v>0</v>
      </c>
      <c r="G10" s="1">
        <v>0</v>
      </c>
      <c r="H10" s="1">
        <v>2</v>
      </c>
      <c r="I10" s="1">
        <v>2</v>
      </c>
      <c r="J10" s="1">
        <v>0</v>
      </c>
      <c r="K10" s="1">
        <v>1</v>
      </c>
      <c r="L10" s="1">
        <v>0</v>
      </c>
      <c r="M10" s="1">
        <v>0</v>
      </c>
      <c r="N10" s="28">
        <v>450000</v>
      </c>
      <c r="O10" s="1">
        <v>0</v>
      </c>
      <c r="P10" s="13">
        <f>H10+I10</f>
        <v>4</v>
      </c>
      <c r="Q10" s="14">
        <f>P10/(C10+D10+E10+F10+G10)</f>
        <v>1</v>
      </c>
      <c r="R10" s="14">
        <f>L10/(C10+D10+E10+F10+G10)</f>
        <v>0</v>
      </c>
      <c r="S10" s="14">
        <f>M10/(C10+D10+E10+F10+G10)</f>
        <v>0</v>
      </c>
      <c r="T10" s="15">
        <f>IF(D10&gt;2,0,IF(D10=2,5,IF(D10=1,10,IF(D10&lt;1,15))))</f>
        <v>15</v>
      </c>
      <c r="U10" s="15">
        <f>IF(E10&gt;=2,0,IF(E10=1,5,IF(E10=0,10)))</f>
        <v>10</v>
      </c>
      <c r="V10" s="15">
        <f>IF(Q10&lt;0.5,0,IF(Q10&lt;0.75,5,IF(Q10&lt;1,10,IF(Q10&lt;1.2,15,IF(Q10&gt;=1.2,20)))))</f>
        <v>15</v>
      </c>
      <c r="W10" s="15">
        <f>IF(N10&lt;25000000,0,IF(N10&lt;50000000,5,IF(N10&lt;100000000,10,IF(N10&gt;=100000000,15))))</f>
        <v>0</v>
      </c>
      <c r="X10" s="15">
        <f>IF(R10&lt;0.1,0,IF(R10&lt;0.2,5,IF(R10&lt;0.4,10,IF(R10&lt;0.6,15,IF(R10&gt;=0.6,20)))))</f>
        <v>0</v>
      </c>
      <c r="Y10" s="15">
        <f>IF(S10&lt;1,0,IF(S10&lt;2,5,IF(S10&gt;=2,10)))</f>
        <v>0</v>
      </c>
      <c r="Z10" s="15">
        <f>IF(O10&lt;10,0,IF(O10&lt;20,5,IF(O10&gt;=20,10)))</f>
        <v>0</v>
      </c>
      <c r="AA10" s="16">
        <f>SUM(T10:Z10)</f>
        <v>40</v>
      </c>
      <c r="AB10" s="16" t="str">
        <f>IF(AA10&lt;30,"Grey",IF(AA10&lt;50,"Red",IF(AA10&lt;70,"Amber",IF(AA10&gt;=70,"Green"))))</f>
        <v>Red</v>
      </c>
    </row>
    <row r="11" spans="1:28" ht="17.25" thickBot="1" x14ac:dyDescent="0.35">
      <c r="A11" t="s">
        <v>12</v>
      </c>
      <c r="C11" s="1">
        <v>3</v>
      </c>
      <c r="D11" s="1">
        <v>1</v>
      </c>
      <c r="E11" s="1">
        <v>0</v>
      </c>
      <c r="F11" s="1">
        <v>0</v>
      </c>
      <c r="G11" s="1">
        <v>0</v>
      </c>
      <c r="H11" s="1">
        <v>2</v>
      </c>
      <c r="I11" s="1">
        <v>2</v>
      </c>
      <c r="J11" s="1">
        <v>1</v>
      </c>
      <c r="K11" s="1">
        <v>0</v>
      </c>
      <c r="L11" s="1">
        <v>0</v>
      </c>
      <c r="M11" s="1">
        <v>4</v>
      </c>
      <c r="N11" s="28">
        <v>520000</v>
      </c>
      <c r="O11" s="1">
        <v>1</v>
      </c>
      <c r="P11" s="13">
        <f>H11+I11</f>
        <v>4</v>
      </c>
      <c r="Q11" s="14">
        <f>P11/(C11+D11+E11+F11+G11)</f>
        <v>1</v>
      </c>
      <c r="R11" s="14">
        <f>L11/(C11+D11+E11+F11+G11)</f>
        <v>0</v>
      </c>
      <c r="S11" s="14">
        <f>M11/(C11+D11+E11+F11+G11)</f>
        <v>1</v>
      </c>
      <c r="T11" s="15">
        <f>IF(D11&gt;2,0,IF(D11=2,5,IF(D11=1,10,IF(D11&lt;1,15))))</f>
        <v>10</v>
      </c>
      <c r="U11" s="15">
        <f>IF(E11&gt;=2,0,IF(E11=1,5,IF(E11=0,10)))</f>
        <v>10</v>
      </c>
      <c r="V11" s="15">
        <f>IF(Q11&lt;0.5,0,IF(Q11&lt;0.75,5,IF(Q11&lt;1,10,IF(Q11&lt;1.2,15,IF(Q11&gt;=1.2,20)))))</f>
        <v>15</v>
      </c>
      <c r="W11" s="15">
        <f>IF(N11&lt;25000000,0,IF(N11&lt;50000000,5,IF(N11&lt;100000000,10,IF(N11&gt;=100000000,15))))</f>
        <v>0</v>
      </c>
      <c r="X11" s="15">
        <f>IF(R11&lt;0.1,0,IF(R11&lt;0.2,5,IF(R11&lt;0.4,10,IF(R11&lt;0.6,15,IF(R11&gt;=0.6,20)))))</f>
        <v>0</v>
      </c>
      <c r="Y11" s="15">
        <f>IF(S11&lt;1,0,IF(S11&lt;2,5,IF(S11&gt;=2,10)))</f>
        <v>5</v>
      </c>
      <c r="Z11" s="15">
        <f>IF(O11&lt;10,0,IF(O11&lt;20,5,IF(O11&gt;=20,10)))</f>
        <v>0</v>
      </c>
      <c r="AA11" s="16">
        <f>SUM(T11:Z11)</f>
        <v>40</v>
      </c>
      <c r="AB11" s="16" t="str">
        <f>IF(AA11&lt;30,"Grey",IF(AA11&lt;50,"Red",IF(AA11&lt;70,"Amber",IF(AA11&gt;=70,"Green"))))</f>
        <v>Red</v>
      </c>
    </row>
    <row r="12" spans="1:28" ht="17.25" thickBot="1" x14ac:dyDescent="0.35">
      <c r="A12" t="s">
        <v>11</v>
      </c>
      <c r="C12" s="1">
        <v>3</v>
      </c>
      <c r="D12" s="1">
        <v>1</v>
      </c>
      <c r="E12" s="1">
        <v>0</v>
      </c>
      <c r="F12" s="1">
        <v>0</v>
      </c>
      <c r="G12" s="1">
        <v>0</v>
      </c>
      <c r="H12" s="1">
        <v>2</v>
      </c>
      <c r="I12" s="1">
        <v>1</v>
      </c>
      <c r="J12" s="1">
        <v>0</v>
      </c>
      <c r="K12" s="1">
        <v>1</v>
      </c>
      <c r="L12" s="1">
        <v>0</v>
      </c>
      <c r="M12" s="1">
        <v>3</v>
      </c>
      <c r="N12" s="28">
        <v>65600</v>
      </c>
      <c r="O12" s="1">
        <v>0</v>
      </c>
      <c r="P12" s="13">
        <f>H12+I12</f>
        <v>3</v>
      </c>
      <c r="Q12" s="14">
        <f>P12/(C12+D12+E12+F12+G12)</f>
        <v>0.75</v>
      </c>
      <c r="R12" s="14">
        <f>L12/(C12+D12+E12+F12+G12)</f>
        <v>0</v>
      </c>
      <c r="S12" s="14">
        <f>M12/(C12+D12+E12+F12+G12)</f>
        <v>0.75</v>
      </c>
      <c r="T12" s="15">
        <f>IF(D12&gt;2,0,IF(D12=2,5,IF(D12=1,10,IF(D12&lt;1,15))))</f>
        <v>10</v>
      </c>
      <c r="U12" s="15">
        <f>IF(E12&gt;=2,0,IF(E12=1,5,IF(E12=0,10)))</f>
        <v>10</v>
      </c>
      <c r="V12" s="15">
        <f>IF(Q12&lt;0.5,0,IF(Q12&lt;0.75,5,IF(Q12&lt;1,10,IF(Q12&lt;1.2,15,IF(Q12&gt;=1.2,20)))))</f>
        <v>10</v>
      </c>
      <c r="W12" s="15">
        <f>IF(N12&lt;25000000,0,IF(N12&lt;50000000,5,IF(N12&lt;100000000,10,IF(N12&gt;=100000000,15))))</f>
        <v>0</v>
      </c>
      <c r="X12" s="15">
        <f>IF(R12&lt;0.1,0,IF(R12&lt;0.2,5,IF(R12&lt;0.4,10,IF(R12&lt;0.6,15,IF(R12&gt;=0.6,20)))))</f>
        <v>0</v>
      </c>
      <c r="Y12" s="15">
        <f>IF(S12&lt;1,0,IF(S12&lt;2,5,IF(S12&gt;=2,10)))</f>
        <v>0</v>
      </c>
      <c r="Z12" s="15">
        <f>IF(O12&lt;10,0,IF(O12&lt;20,5,IF(O12&gt;=20,10)))</f>
        <v>0</v>
      </c>
      <c r="AA12" s="16">
        <f>SUM(T12:Z12)</f>
        <v>30</v>
      </c>
      <c r="AB12" s="16" t="str">
        <f>IF(AA12&lt;30,"Grey",IF(AA12&lt;50,"Red",IF(AA12&lt;70,"Amber",IF(AA12&gt;=70,"Green"))))</f>
        <v>Red</v>
      </c>
    </row>
    <row r="13" spans="1:28" ht="17.25" thickBot="1" x14ac:dyDescent="0.35">
      <c r="A13" t="s">
        <v>63</v>
      </c>
      <c r="C13" s="2">
        <v>4</v>
      </c>
      <c r="D13" s="2">
        <v>0</v>
      </c>
      <c r="E13" s="2">
        <v>0</v>
      </c>
      <c r="F13" s="2">
        <v>0</v>
      </c>
      <c r="G13" s="2">
        <v>0</v>
      </c>
      <c r="H13" s="2">
        <v>8</v>
      </c>
      <c r="I13" s="2">
        <v>11</v>
      </c>
      <c r="J13" s="2">
        <v>1</v>
      </c>
      <c r="K13" s="2">
        <v>4</v>
      </c>
      <c r="L13" s="2">
        <v>0</v>
      </c>
      <c r="M13" s="27">
        <v>40</v>
      </c>
      <c r="N13" s="18">
        <v>954990</v>
      </c>
      <c r="O13" s="2">
        <v>12</v>
      </c>
      <c r="P13" s="13">
        <f>H13+I13</f>
        <v>19</v>
      </c>
      <c r="Q13" s="14">
        <f>P13/(C13+D13+E13+F13+G13)</f>
        <v>4.75</v>
      </c>
      <c r="R13" s="14">
        <f>L13/(C13+D13+E13+F13+G13)</f>
        <v>0</v>
      </c>
      <c r="S13" s="14">
        <f>M13/(C13+D13+E13+F13+G13)</f>
        <v>10</v>
      </c>
      <c r="T13" s="15">
        <f>IF(D13&gt;2,0,IF(D13=2,5,IF(D13=1,10,IF(D13&lt;1,15))))</f>
        <v>15</v>
      </c>
      <c r="U13" s="15">
        <f>IF(E13&gt;=2,0,IF(E13=1,5,IF(E13=0,10)))</f>
        <v>10</v>
      </c>
      <c r="V13" s="15">
        <f>IF(Q13&lt;0.5,0,IF(Q13&lt;0.75,5,IF(Q13&lt;1,10,IF(Q13&lt;1.2,15,IF(Q13&gt;=1.2,20)))))</f>
        <v>20</v>
      </c>
      <c r="W13" s="15">
        <f>IF(N13&lt;25000000,0,IF(N13&lt;50000000,5,IF(N13&lt;100000000,10,IF(N13&gt;=100000000,15))))</f>
        <v>0</v>
      </c>
      <c r="X13" s="15">
        <f>IF(R13&lt;0.1,0,IF(R13&lt;0.2,5,IF(R13&lt;0.4,10,IF(R13&lt;0.6,15,IF(R13&gt;=0.6,20)))))</f>
        <v>0</v>
      </c>
      <c r="Y13" s="15">
        <f>IF(S13&lt;1,0,IF(S13&lt;2,5,IF(S13&gt;=2,10)))</f>
        <v>10</v>
      </c>
      <c r="Z13" s="15">
        <f>IF(O13&lt;10,0,IF(O13&lt;20,5,IF(O13&gt;=20,10)))</f>
        <v>5</v>
      </c>
      <c r="AA13" s="16">
        <f>SUM(T13:Z13)</f>
        <v>60</v>
      </c>
      <c r="AB13" s="16" t="str">
        <f>IF(AA13&lt;30,"Grey",IF(AA13&lt;50,"Red",IF(AA13&lt;70,"Amber",IF(AA13&gt;=70,"Green"))))</f>
        <v>Amber</v>
      </c>
    </row>
    <row r="14" spans="1:28" ht="17.25" thickBot="1" x14ac:dyDescent="0.35">
      <c r="A14" t="s">
        <v>10</v>
      </c>
      <c r="C14" s="2">
        <v>2</v>
      </c>
      <c r="D14" s="2">
        <v>2</v>
      </c>
      <c r="E14" s="2">
        <v>0</v>
      </c>
      <c r="F14" s="2">
        <v>0</v>
      </c>
      <c r="G14" s="2">
        <v>0</v>
      </c>
      <c r="H14" s="2">
        <v>0</v>
      </c>
      <c r="I14" s="2">
        <v>2</v>
      </c>
      <c r="J14" s="2">
        <v>0</v>
      </c>
      <c r="K14" s="2">
        <v>2</v>
      </c>
      <c r="L14" s="2">
        <v>0</v>
      </c>
      <c r="M14" s="2">
        <v>3</v>
      </c>
      <c r="N14" s="18">
        <v>1000000</v>
      </c>
      <c r="O14" s="2">
        <v>13</v>
      </c>
      <c r="P14" s="13">
        <f>H14+I14</f>
        <v>2</v>
      </c>
      <c r="Q14" s="14">
        <f>P14/(C14+D14+E14+F14+G14)</f>
        <v>0.5</v>
      </c>
      <c r="R14" s="14">
        <f>L14/(C14+D14+E14+F14+G14)</f>
        <v>0</v>
      </c>
      <c r="S14" s="14">
        <f>M14/(C14+D14+E14+F14+G14)</f>
        <v>0.75</v>
      </c>
      <c r="T14" s="15">
        <f>IF(D14&gt;2,0,IF(D14=2,5,IF(D14=1,10,IF(D14&lt;1,15))))</f>
        <v>5</v>
      </c>
      <c r="U14" s="15">
        <f>IF(E14&gt;=2,0,IF(E14=1,5,IF(E14=0,10)))</f>
        <v>10</v>
      </c>
      <c r="V14" s="15">
        <f>IF(Q14&lt;0.5,0,IF(Q14&lt;0.75,5,IF(Q14&lt;1,10,IF(Q14&lt;1.2,15,IF(Q14&gt;=1.2,20)))))</f>
        <v>5</v>
      </c>
      <c r="W14" s="15">
        <f>IF(N14&lt;25000000,0,IF(N14&lt;50000000,5,IF(N14&lt;100000000,10,IF(N14&gt;=100000000,15))))</f>
        <v>0</v>
      </c>
      <c r="X14" s="15">
        <f>IF(R14&lt;0.1,0,IF(R14&lt;0.2,5,IF(R14&lt;0.4,10,IF(R14&lt;0.6,15,IF(R14&gt;=0.6,20)))))</f>
        <v>0</v>
      </c>
      <c r="Y14" s="15">
        <f>IF(S14&lt;1,0,IF(S14&lt;2,5,IF(S14&gt;=2,10)))</f>
        <v>0</v>
      </c>
      <c r="Z14" s="15">
        <f>IF(O14&lt;10,0,IF(O14&lt;20,5,IF(O14&gt;=20,10)))</f>
        <v>5</v>
      </c>
      <c r="AA14" s="16">
        <f>SUM(T14:Z14)</f>
        <v>25</v>
      </c>
      <c r="AB14" s="16" t="str">
        <f>IF(AA14&lt;30,"Grey",IF(AA14&lt;50,"Red",IF(AA14&lt;70,"Amber",IF(AA14&gt;=70,"Green"))))</f>
        <v>Grey</v>
      </c>
    </row>
    <row r="15" spans="1:28" ht="17.25" thickBot="1" x14ac:dyDescent="0.35">
      <c r="A15" t="s">
        <v>14</v>
      </c>
      <c r="C15" s="1">
        <v>4</v>
      </c>
      <c r="D15" s="1">
        <v>0</v>
      </c>
      <c r="E15" s="1">
        <v>0</v>
      </c>
      <c r="F15" s="1">
        <v>0</v>
      </c>
      <c r="G15" s="1">
        <v>0</v>
      </c>
      <c r="H15" s="1">
        <v>7</v>
      </c>
      <c r="I15" s="1">
        <v>4</v>
      </c>
      <c r="J15" s="1">
        <v>6</v>
      </c>
      <c r="K15" s="1">
        <v>16</v>
      </c>
      <c r="L15" s="1">
        <v>0</v>
      </c>
      <c r="M15" s="27">
        <v>22</v>
      </c>
      <c r="N15" s="28">
        <v>1462600</v>
      </c>
      <c r="O15" s="1">
        <v>7</v>
      </c>
      <c r="P15" s="13">
        <f>H15+I15</f>
        <v>11</v>
      </c>
      <c r="Q15" s="14">
        <f>P15/(C15+D15+E15+F15+G15)</f>
        <v>2.75</v>
      </c>
      <c r="R15" s="14">
        <f>L15/(C15+D15+E15+F15+G15)</f>
        <v>0</v>
      </c>
      <c r="S15" s="14">
        <f>M15/(C15+D15+E15+F15+G15)</f>
        <v>5.5</v>
      </c>
      <c r="T15" s="15">
        <f>IF(D15&gt;2,0,IF(D15=2,5,IF(D15=1,10,IF(D15&lt;1,15))))</f>
        <v>15</v>
      </c>
      <c r="U15" s="15">
        <f>IF(E15&gt;=2,0,IF(E15=1,5,IF(E15=0,10)))</f>
        <v>10</v>
      </c>
      <c r="V15" s="15">
        <f>IF(Q15&lt;0.5,0,IF(Q15&lt;0.75,5,IF(Q15&lt;1,10,IF(Q15&lt;1.2,15,IF(Q15&gt;=1.2,20)))))</f>
        <v>20</v>
      </c>
      <c r="W15" s="15">
        <f>IF(N15&lt;25000000,0,IF(N15&lt;50000000,5,IF(N15&lt;100000000,10,IF(N15&gt;=100000000,15))))</f>
        <v>0</v>
      </c>
      <c r="X15" s="15">
        <f>IF(R15&lt;0.1,0,IF(R15&lt;0.2,5,IF(R15&lt;0.4,10,IF(R15&lt;0.6,15,IF(R15&gt;=0.6,20)))))</f>
        <v>0</v>
      </c>
      <c r="Y15" s="15">
        <f>IF(S15&lt;1,0,IF(S15&lt;2,5,IF(S15&gt;=2,10)))</f>
        <v>10</v>
      </c>
      <c r="Z15" s="15">
        <f>IF(O15&lt;10,0,IF(O15&lt;20,5,IF(O15&gt;=20,10)))</f>
        <v>0</v>
      </c>
      <c r="AA15" s="16">
        <f>SUM(T15:Z15)</f>
        <v>55</v>
      </c>
      <c r="AB15" s="16" t="str">
        <f>IF(AA15&lt;30,"Grey",IF(AA15&lt;50,"Red",IF(AA15&lt;70,"Amber",IF(AA15&gt;=70,"Green"))))</f>
        <v>Amber</v>
      </c>
    </row>
    <row r="16" spans="1:28" ht="17.25" thickBot="1" x14ac:dyDescent="0.35">
      <c r="A16" t="s">
        <v>26</v>
      </c>
      <c r="C16" s="1">
        <v>3</v>
      </c>
      <c r="D16" s="1">
        <v>0</v>
      </c>
      <c r="E16" s="1">
        <v>0</v>
      </c>
      <c r="F16" s="1">
        <v>1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12</v>
      </c>
      <c r="N16" s="28">
        <v>860000</v>
      </c>
      <c r="O16" s="1">
        <v>10</v>
      </c>
      <c r="P16" s="13">
        <f>H16+I16</f>
        <v>2</v>
      </c>
      <c r="Q16" s="14">
        <f>P16/(C16+D16+E16+F16+G16)</f>
        <v>0.5</v>
      </c>
      <c r="R16" s="14">
        <f>L16/(C16+D16+E16+F16+G16)</f>
        <v>0</v>
      </c>
      <c r="S16" s="14">
        <f>M16/(C16+D16+E16+F16+G16)</f>
        <v>3</v>
      </c>
      <c r="T16" s="15">
        <f>IF(D16&gt;2,0,IF(D16=2,5,IF(D16=1,10,IF(D16&lt;1,15))))</f>
        <v>15</v>
      </c>
      <c r="U16" s="15">
        <f>IF(E16&gt;=2,0,IF(E16=1,5,IF(E16=0,10)))</f>
        <v>10</v>
      </c>
      <c r="V16" s="15">
        <f>IF(Q16&lt;0.5,0,IF(Q16&lt;0.75,5,IF(Q16&lt;1,10,IF(Q16&lt;1.2,15,IF(Q16&gt;=1.2,20)))))</f>
        <v>5</v>
      </c>
      <c r="W16" s="15">
        <f>IF(N16&lt;25000000,0,IF(N16&lt;50000000,5,IF(N16&lt;100000000,10,IF(N16&gt;=100000000,15))))</f>
        <v>0</v>
      </c>
      <c r="X16" s="15">
        <f>IF(R16&lt;0.1,0,IF(R16&lt;0.2,5,IF(R16&lt;0.4,10,IF(R16&lt;0.6,15,IF(R16&gt;=0.6,20)))))</f>
        <v>0</v>
      </c>
      <c r="Y16" s="15">
        <f>IF(S16&lt;1,0,IF(S16&lt;2,5,IF(S16&gt;=2,10)))</f>
        <v>10</v>
      </c>
      <c r="Z16" s="15">
        <f>IF(O16&lt;10,0,IF(O16&lt;20,5,IF(O16&gt;=20,10)))</f>
        <v>5</v>
      </c>
      <c r="AA16" s="16">
        <f>SUM(T16:Z16)</f>
        <v>45</v>
      </c>
      <c r="AB16" s="16" t="str">
        <f>IF(AA16&lt;30,"Grey",IF(AA16&lt;50,"Red",IF(AA16&lt;70,"Amber",IF(AA16&gt;=70,"Green"))))</f>
        <v>Red</v>
      </c>
    </row>
    <row r="17" spans="1:28" ht="17.25" thickBot="1" x14ac:dyDescent="0.35">
      <c r="A17" t="s">
        <v>31</v>
      </c>
      <c r="C17" s="2">
        <v>4</v>
      </c>
      <c r="D17" s="2">
        <v>0</v>
      </c>
      <c r="E17" s="2">
        <v>0</v>
      </c>
      <c r="F17" s="2">
        <v>0</v>
      </c>
      <c r="G17" s="2">
        <v>0</v>
      </c>
      <c r="H17" s="2">
        <v>4</v>
      </c>
      <c r="I17" s="2">
        <v>4</v>
      </c>
      <c r="J17" s="2">
        <v>2</v>
      </c>
      <c r="K17" s="2">
        <v>1</v>
      </c>
      <c r="L17" s="2">
        <v>0</v>
      </c>
      <c r="M17" s="2">
        <v>7</v>
      </c>
      <c r="N17" s="18">
        <v>5810000</v>
      </c>
      <c r="O17" s="2">
        <v>11</v>
      </c>
      <c r="P17" s="13">
        <f>H17+I17</f>
        <v>8</v>
      </c>
      <c r="Q17" s="14">
        <f>P17/(C17+D17+E17+F17+G17)</f>
        <v>2</v>
      </c>
      <c r="R17" s="14">
        <f>L17/(C17+D17+E17+F17+G17)</f>
        <v>0</v>
      </c>
      <c r="S17" s="14">
        <f>M17/(C17+D17+E17+F17+G17)</f>
        <v>1.75</v>
      </c>
      <c r="T17" s="15">
        <f>IF(D17&gt;2,0,IF(D17=2,5,IF(D17=1,10,IF(D17&lt;1,15))))</f>
        <v>15</v>
      </c>
      <c r="U17" s="15">
        <f>IF(E17&gt;=2,0,IF(E17=1,5,IF(E17=0,10)))</f>
        <v>10</v>
      </c>
      <c r="V17" s="15">
        <f>IF(Q17&lt;0.5,0,IF(Q17&lt;0.75,5,IF(Q17&lt;1,10,IF(Q17&lt;1.2,15,IF(Q17&gt;=1.2,20)))))</f>
        <v>20</v>
      </c>
      <c r="W17" s="15">
        <f>IF(N17&lt;25000000,0,IF(N17&lt;50000000,5,IF(N17&lt;100000000,10,IF(N17&gt;=100000000,15))))</f>
        <v>0</v>
      </c>
      <c r="X17" s="15">
        <f>IF(R17&lt;0.1,0,IF(R17&lt;0.2,5,IF(R17&lt;0.4,10,IF(R17&lt;0.6,15,IF(R17&gt;=0.6,20)))))</f>
        <v>0</v>
      </c>
      <c r="Y17" s="15">
        <f>IF(S17&lt;1,0,IF(S17&lt;2,5,IF(S17&gt;=2,10)))</f>
        <v>5</v>
      </c>
      <c r="Z17" s="15">
        <f>IF(O17&lt;10,0,IF(O17&lt;20,5,IF(O17&gt;=20,10)))</f>
        <v>5</v>
      </c>
      <c r="AA17" s="16">
        <f>SUM(T17:Z17)</f>
        <v>55</v>
      </c>
      <c r="AB17" s="16" t="str">
        <f>IF(AA17&lt;30,"Grey",IF(AA17&lt;50,"Red",IF(AA17&lt;70,"Amber",IF(AA17&gt;=70,"Green"))))</f>
        <v>Amber</v>
      </c>
    </row>
    <row r="18" spans="1:28" ht="17.25" thickBot="1" x14ac:dyDescent="0.35">
      <c r="A18" t="s">
        <v>29</v>
      </c>
      <c r="C18" s="2">
        <v>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3</v>
      </c>
      <c r="N18" s="18">
        <v>0</v>
      </c>
      <c r="O18" s="27">
        <v>18</v>
      </c>
      <c r="P18" s="13">
        <f>H18+I18</f>
        <v>0</v>
      </c>
      <c r="Q18" s="14">
        <f>P18/(C18+D18+E18+F18+G18)</f>
        <v>0</v>
      </c>
      <c r="R18" s="14">
        <f>L18/(C18+D18+E18+F18+G18)</f>
        <v>0</v>
      </c>
      <c r="S18" s="14">
        <f>M18/(C18+D18+E18+F18+G18)</f>
        <v>0.75</v>
      </c>
      <c r="T18" s="15">
        <f>IF(D18&gt;2,0,IF(D18=2,5,IF(D18=1,10,IF(D18&lt;1,15))))</f>
        <v>15</v>
      </c>
      <c r="U18" s="15">
        <f>IF(E18&gt;=2,0,IF(E18=1,5,IF(E18=0,10)))</f>
        <v>10</v>
      </c>
      <c r="V18" s="15">
        <f>IF(Q18&lt;0.5,0,IF(Q18&lt;0.75,5,IF(Q18&lt;1,10,IF(Q18&lt;1.2,15,IF(Q18&gt;=1.2,20)))))</f>
        <v>0</v>
      </c>
      <c r="W18" s="15">
        <f>IF(N18&lt;25000000,0,IF(N18&lt;50000000,5,IF(N18&lt;100000000,10,IF(N18&gt;=100000000,15))))</f>
        <v>0</v>
      </c>
      <c r="X18" s="15">
        <f>IF(R18&lt;0.1,0,IF(R18&lt;0.2,5,IF(R18&lt;0.4,10,IF(R18&lt;0.6,15,IF(R18&gt;=0.6,20)))))</f>
        <v>0</v>
      </c>
      <c r="Y18" s="15">
        <f>IF(S18&lt;1,0,IF(S18&lt;2,5,IF(S18&gt;=2,10)))</f>
        <v>0</v>
      </c>
      <c r="Z18" s="15">
        <f>IF(O18&lt;10,0,IF(O18&lt;20,5,IF(O18&gt;=20,10)))</f>
        <v>5</v>
      </c>
      <c r="AA18" s="16">
        <f>SUM(T18:Z18)</f>
        <v>30</v>
      </c>
      <c r="AB18" s="16" t="str">
        <f>IF(AA18&lt;30,"Grey",IF(AA18&lt;50,"Red",IF(AA18&lt;70,"Amber",IF(AA18&gt;=70,"Green"))))</f>
        <v>Red</v>
      </c>
    </row>
    <row r="19" spans="1:28" ht="17.25" thickBot="1" x14ac:dyDescent="0.35">
      <c r="A19" t="s">
        <v>30</v>
      </c>
      <c r="C19" s="1">
        <v>4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6</v>
      </c>
      <c r="J19" s="1">
        <v>6</v>
      </c>
      <c r="K19" s="1">
        <v>11</v>
      </c>
      <c r="L19" s="1">
        <v>0</v>
      </c>
      <c r="M19" s="1">
        <v>9</v>
      </c>
      <c r="N19" s="28">
        <v>7520000</v>
      </c>
      <c r="O19" s="1">
        <v>4</v>
      </c>
      <c r="P19" s="13">
        <f>H19+I19</f>
        <v>7</v>
      </c>
      <c r="Q19" s="14">
        <f>P19/(C19+D19+E19+F19+G19)</f>
        <v>1.75</v>
      </c>
      <c r="R19" s="14">
        <f>L19/(C19+D19+E19+F19+G19)</f>
        <v>0</v>
      </c>
      <c r="S19" s="14">
        <f>M19/(C19+D19+E19+F19+G19)</f>
        <v>2.25</v>
      </c>
      <c r="T19" s="15">
        <f>IF(D19&gt;2,0,IF(D19=2,5,IF(D19=1,10,IF(D19&lt;1,15))))</f>
        <v>15</v>
      </c>
      <c r="U19" s="15">
        <f>IF(E19&gt;=2,0,IF(E19=1,5,IF(E19=0,10)))</f>
        <v>10</v>
      </c>
      <c r="V19" s="15">
        <f>IF(Q19&lt;0.5,0,IF(Q19&lt;0.75,5,IF(Q19&lt;1,10,IF(Q19&lt;1.2,15,IF(Q19&gt;=1.2,20)))))</f>
        <v>20</v>
      </c>
      <c r="W19" s="15">
        <f>IF(N19&lt;25000000,0,IF(N19&lt;50000000,5,IF(N19&lt;100000000,10,IF(N19&gt;=100000000,15))))</f>
        <v>0</v>
      </c>
      <c r="X19" s="15">
        <f>IF(R19&lt;0.1,0,IF(R19&lt;0.2,5,IF(R19&lt;0.4,10,IF(R19&lt;0.6,15,IF(R19&gt;=0.6,20)))))</f>
        <v>0</v>
      </c>
      <c r="Y19" s="15">
        <f>IF(S19&lt;1,0,IF(S19&lt;2,5,IF(S19&gt;=2,10)))</f>
        <v>10</v>
      </c>
      <c r="Z19" s="15">
        <f>IF(O19&lt;10,0,IF(O19&lt;20,5,IF(O19&gt;=20,10)))</f>
        <v>0</v>
      </c>
      <c r="AA19" s="16">
        <f>SUM(T19:Z19)</f>
        <v>55</v>
      </c>
      <c r="AB19" s="16" t="str">
        <f>IF(AA19&lt;30,"Grey",IF(AA19&lt;50,"Red",IF(AA19&lt;70,"Amber",IF(AA19&gt;=70,"Green"))))</f>
        <v>Amber</v>
      </c>
    </row>
    <row r="20" spans="1:28" ht="17.25" thickBot="1" x14ac:dyDescent="0.35">
      <c r="A20" t="s">
        <v>32</v>
      </c>
      <c r="C20" s="3">
        <v>4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1</v>
      </c>
      <c r="J20" s="3">
        <v>8</v>
      </c>
      <c r="K20" s="3">
        <v>2</v>
      </c>
      <c r="L20" s="3">
        <v>0</v>
      </c>
      <c r="M20" s="3">
        <v>12</v>
      </c>
      <c r="N20" s="30">
        <v>9422000</v>
      </c>
      <c r="O20" s="3">
        <v>12</v>
      </c>
      <c r="P20" s="13">
        <f>H20+I20</f>
        <v>2</v>
      </c>
      <c r="Q20" s="14">
        <f>P20/(C20+D20+E20+F20+G20)</f>
        <v>0.5</v>
      </c>
      <c r="R20" s="14">
        <f>L20/(C20+D20+E20+F20+G20)</f>
        <v>0</v>
      </c>
      <c r="S20" s="14">
        <f>M20/(C20+D20+E20+F20+G20)</f>
        <v>3</v>
      </c>
      <c r="T20" s="15">
        <f>IF(D20&gt;2,0,IF(D20=2,5,IF(D20=1,10,IF(D20&lt;1,15))))</f>
        <v>15</v>
      </c>
      <c r="U20" s="15">
        <f>IF(E20&gt;=2,0,IF(E20=1,5,IF(E20=0,10)))</f>
        <v>10</v>
      </c>
      <c r="V20" s="15">
        <f>IF(Q20&lt;0.5,0,IF(Q20&lt;0.75,5,IF(Q20&lt;1,10,IF(Q20&lt;1.2,15,IF(Q20&gt;=1.2,20)))))</f>
        <v>5</v>
      </c>
      <c r="W20" s="15">
        <f>IF(N20&lt;25000000,0,IF(N20&lt;50000000,5,IF(N20&lt;100000000,10,IF(N20&gt;=100000000,15))))</f>
        <v>0</v>
      </c>
      <c r="X20" s="15">
        <f>IF(R20&lt;0.1,0,IF(R20&lt;0.2,5,IF(R20&lt;0.4,10,IF(R20&lt;0.6,15,IF(R20&gt;=0.6,20)))))</f>
        <v>0</v>
      </c>
      <c r="Y20" s="15">
        <f>IF(S20&lt;1,0,IF(S20&lt;2,5,IF(S20&gt;=2,10)))</f>
        <v>10</v>
      </c>
      <c r="Z20" s="15">
        <f>IF(O20&lt;10,0,IF(O20&lt;20,5,IF(O20&gt;=20,10)))</f>
        <v>5</v>
      </c>
      <c r="AA20" s="16">
        <f>SUM(T20:Z20)</f>
        <v>45</v>
      </c>
      <c r="AB20" s="16" t="str">
        <f>IF(AA20&lt;30,"Grey",IF(AA20&lt;50,"Red",IF(AA20&lt;70,"Amber",IF(AA20&gt;=70,"Green"))))</f>
        <v>Red</v>
      </c>
    </row>
    <row r="21" spans="1:28" ht="17.25" thickBot="1" x14ac:dyDescent="0.35">
      <c r="A21" t="s">
        <v>22</v>
      </c>
      <c r="C21" s="2">
        <v>2</v>
      </c>
      <c r="D21" s="2">
        <v>1</v>
      </c>
      <c r="E21" s="2">
        <v>0</v>
      </c>
      <c r="F21" s="2">
        <v>1</v>
      </c>
      <c r="G21" s="2">
        <v>0</v>
      </c>
      <c r="H21" s="2">
        <v>1</v>
      </c>
      <c r="I21" s="2">
        <v>2</v>
      </c>
      <c r="J21" s="2">
        <v>0</v>
      </c>
      <c r="K21" s="2">
        <v>2</v>
      </c>
      <c r="L21" s="2">
        <v>0</v>
      </c>
      <c r="M21" s="2">
        <v>7</v>
      </c>
      <c r="N21" s="18">
        <v>1500000</v>
      </c>
      <c r="O21" s="2">
        <v>6</v>
      </c>
      <c r="P21" s="13">
        <f>H21+I21</f>
        <v>3</v>
      </c>
      <c r="Q21" s="14">
        <f>P21/(C21+D21+E21+F21+G21)</f>
        <v>0.75</v>
      </c>
      <c r="R21" s="14">
        <f>L21/(C21+D21+E21+F21+G21)</f>
        <v>0</v>
      </c>
      <c r="S21" s="14">
        <f>M21/(C21+D21+E21+F21+G21)</f>
        <v>1.75</v>
      </c>
      <c r="T21" s="15">
        <f>IF(D21&gt;2,0,IF(D21=2,5,IF(D21=1,10,IF(D21&lt;1,15))))</f>
        <v>10</v>
      </c>
      <c r="U21" s="15">
        <f>IF(E21&gt;=2,0,IF(E21=1,5,IF(E21=0,10)))</f>
        <v>10</v>
      </c>
      <c r="V21" s="15">
        <f>IF(Q21&lt;0.5,0,IF(Q21&lt;0.75,5,IF(Q21&lt;1,10,IF(Q21&lt;1.2,15,IF(Q21&gt;=1.2,20)))))</f>
        <v>10</v>
      </c>
      <c r="W21" s="15">
        <f>IF(N21&lt;25000000,0,IF(N21&lt;50000000,5,IF(N21&lt;100000000,10,IF(N21&gt;=100000000,15))))</f>
        <v>0</v>
      </c>
      <c r="X21" s="15">
        <f>IF(R21&lt;0.1,0,IF(R21&lt;0.2,5,IF(R21&lt;0.4,10,IF(R21&lt;0.6,15,IF(R21&gt;=0.6,20)))))</f>
        <v>0</v>
      </c>
      <c r="Y21" s="15">
        <f>IF(S21&lt;1,0,IF(S21&lt;2,5,IF(S21&gt;=2,10)))</f>
        <v>5</v>
      </c>
      <c r="Z21" s="15">
        <f>IF(O21&lt;10,0,IF(O21&lt;20,5,IF(O21&gt;=20,10)))</f>
        <v>0</v>
      </c>
      <c r="AA21" s="16">
        <f>SUM(T21:Z21)</f>
        <v>35</v>
      </c>
      <c r="AB21" s="16" t="str">
        <f>IF(AA21&lt;30,"Grey",IF(AA21&lt;50,"Red",IF(AA21&lt;70,"Amber",IF(AA21&gt;=70,"Green"))))</f>
        <v>Red</v>
      </c>
    </row>
    <row r="22" spans="1:28" ht="17.25" thickBot="1" x14ac:dyDescent="0.35">
      <c r="A22" t="s">
        <v>19</v>
      </c>
      <c r="C22" s="2">
        <v>4</v>
      </c>
      <c r="D22" s="2">
        <v>0</v>
      </c>
      <c r="E22" s="2">
        <v>0</v>
      </c>
      <c r="F22" s="2">
        <v>0</v>
      </c>
      <c r="G22" s="2">
        <v>0</v>
      </c>
      <c r="H22" s="2">
        <v>4</v>
      </c>
      <c r="I22" s="2">
        <v>5</v>
      </c>
      <c r="J22" s="2">
        <v>1</v>
      </c>
      <c r="K22" s="2">
        <v>0</v>
      </c>
      <c r="L22" s="2">
        <v>0</v>
      </c>
      <c r="M22" s="2">
        <v>13</v>
      </c>
      <c r="N22" s="18">
        <v>2570600</v>
      </c>
      <c r="O22" s="2">
        <v>13</v>
      </c>
      <c r="P22" s="13">
        <f>H22+I22</f>
        <v>9</v>
      </c>
      <c r="Q22" s="14">
        <f>P22/(C22+D22+E22+F22+G22)</f>
        <v>2.25</v>
      </c>
      <c r="R22" s="14">
        <f>L22/(C22+D22+E22+F22+G22)</f>
        <v>0</v>
      </c>
      <c r="S22" s="14">
        <f>M22/(C22+D22+E22+F22+G22)</f>
        <v>3.25</v>
      </c>
      <c r="T22" s="15">
        <f>IF(D22&gt;2,0,IF(D22=2,5,IF(D22=1,10,IF(D22&lt;1,15))))</f>
        <v>15</v>
      </c>
      <c r="U22" s="15">
        <f>IF(E22&gt;=2,0,IF(E22=1,5,IF(E22=0,10)))</f>
        <v>10</v>
      </c>
      <c r="V22" s="15">
        <f>IF(Q22&lt;0.5,0,IF(Q22&lt;0.75,5,IF(Q22&lt;1,10,IF(Q22&lt;1.2,15,IF(Q22&gt;=1.2,20)))))</f>
        <v>20</v>
      </c>
      <c r="W22" s="15">
        <f>IF(N22&lt;25000000,0,IF(N22&lt;50000000,5,IF(N22&lt;100000000,10,IF(N22&gt;=100000000,15))))</f>
        <v>0</v>
      </c>
      <c r="X22" s="15">
        <f>IF(R22&lt;0.1,0,IF(R22&lt;0.2,5,IF(R22&lt;0.4,10,IF(R22&lt;0.6,15,IF(R22&gt;=0.6,20)))))</f>
        <v>0</v>
      </c>
      <c r="Y22" s="15">
        <f>IF(S22&lt;1,0,IF(S22&lt;2,5,IF(S22&gt;=2,10)))</f>
        <v>10</v>
      </c>
      <c r="Z22" s="15">
        <f>IF(O22&lt;10,0,IF(O22&lt;20,5,IF(O22&gt;=20,10)))</f>
        <v>5</v>
      </c>
      <c r="AA22" s="16">
        <f>SUM(T22:Z22)</f>
        <v>60</v>
      </c>
      <c r="AB22" s="16" t="str">
        <f>IF(AA22&lt;30,"Grey",IF(AA22&lt;50,"Red",IF(AA22&lt;70,"Amber",IF(AA22&gt;=70,"Green"))))</f>
        <v>Amber</v>
      </c>
    </row>
    <row r="23" spans="1:28" ht="17.25" thickBot="1" x14ac:dyDescent="0.35">
      <c r="A23" t="s">
        <v>21</v>
      </c>
      <c r="C23" s="1">
        <v>3</v>
      </c>
      <c r="D23" s="1">
        <v>1</v>
      </c>
      <c r="E23" s="1">
        <v>0</v>
      </c>
      <c r="F23" s="1">
        <v>0</v>
      </c>
      <c r="G23" s="1">
        <v>0</v>
      </c>
      <c r="H23" s="1">
        <v>1</v>
      </c>
      <c r="I23" s="1">
        <v>2</v>
      </c>
      <c r="J23" s="1">
        <v>0</v>
      </c>
      <c r="K23" s="1">
        <v>0</v>
      </c>
      <c r="L23" s="27">
        <v>3</v>
      </c>
      <c r="M23" s="1">
        <v>7</v>
      </c>
      <c r="N23" s="28">
        <v>1000000</v>
      </c>
      <c r="O23" s="1">
        <v>0</v>
      </c>
      <c r="P23" s="13">
        <f>H23+I23</f>
        <v>3</v>
      </c>
      <c r="Q23" s="14">
        <f>P23/(C23+D23+E23+F23+G23)</f>
        <v>0.75</v>
      </c>
      <c r="R23" s="14">
        <f>L23/(C23+D23+E23+F23+G23)</f>
        <v>0.75</v>
      </c>
      <c r="S23" s="14">
        <f>M23/(C23+D23+E23+F23+G23)</f>
        <v>1.75</v>
      </c>
      <c r="T23" s="15">
        <f>IF(D23&gt;2,0,IF(D23=2,5,IF(D23=1,10,IF(D23&lt;1,15))))</f>
        <v>10</v>
      </c>
      <c r="U23" s="15">
        <f>IF(E23&gt;=2,0,IF(E23=1,5,IF(E23=0,10)))</f>
        <v>10</v>
      </c>
      <c r="V23" s="15">
        <f>IF(Q23&lt;0.5,0,IF(Q23&lt;0.75,5,IF(Q23&lt;1,10,IF(Q23&lt;1.2,15,IF(Q23&gt;=1.2,20)))))</f>
        <v>10</v>
      </c>
      <c r="W23" s="15">
        <f>IF(N23&lt;25000000,0,IF(N23&lt;50000000,5,IF(N23&lt;100000000,10,IF(N23&gt;=100000000,15))))</f>
        <v>0</v>
      </c>
      <c r="X23" s="15">
        <f>IF(R23&lt;0.1,0,IF(R23&lt;0.2,5,IF(R23&lt;0.4,10,IF(R23&lt;0.6,15,IF(R23&gt;=0.6,20)))))</f>
        <v>20</v>
      </c>
      <c r="Y23" s="15">
        <f>IF(S23&lt;1,0,IF(S23&lt;2,5,IF(S23&gt;=2,10)))</f>
        <v>5</v>
      </c>
      <c r="Z23" s="15">
        <f>IF(O23&lt;10,0,IF(O23&lt;20,5,IF(O23&gt;=20,10)))</f>
        <v>0</v>
      </c>
      <c r="AA23" s="16">
        <f>SUM(T23:Z23)</f>
        <v>55</v>
      </c>
      <c r="AB23" s="16" t="str">
        <f>IF(AA23&lt;30,"Grey",IF(AA23&lt;50,"Red",IF(AA23&lt;70,"Amber",IF(AA23&gt;=70,"Green"))))</f>
        <v>Amber</v>
      </c>
    </row>
    <row r="24" spans="1:28" ht="17.25" thickBot="1" x14ac:dyDescent="0.35">
      <c r="A24" t="s">
        <v>24</v>
      </c>
      <c r="C24" s="2">
        <v>4</v>
      </c>
      <c r="D24" s="2">
        <v>0</v>
      </c>
      <c r="E24" s="2">
        <v>0</v>
      </c>
      <c r="F24" s="2">
        <v>0</v>
      </c>
      <c r="G24" s="2">
        <v>0</v>
      </c>
      <c r="H24" s="2">
        <v>4</v>
      </c>
      <c r="I24" s="2">
        <v>4</v>
      </c>
      <c r="J24" s="2">
        <v>3</v>
      </c>
      <c r="K24" s="2">
        <v>6</v>
      </c>
      <c r="L24" s="2">
        <v>2</v>
      </c>
      <c r="M24" s="2">
        <v>6</v>
      </c>
      <c r="N24" s="18">
        <v>268480</v>
      </c>
      <c r="O24" s="2">
        <v>3</v>
      </c>
      <c r="P24" s="13">
        <f>H24+I24</f>
        <v>8</v>
      </c>
      <c r="Q24" s="14">
        <f>P24/(C24+D24+E24+F24+G24)</f>
        <v>2</v>
      </c>
      <c r="R24" s="14">
        <f>L24/(C24+D24+E24+F24+G24)</f>
        <v>0.5</v>
      </c>
      <c r="S24" s="14">
        <f>M24/(C24+D24+E24+F24+G24)</f>
        <v>1.5</v>
      </c>
      <c r="T24" s="15">
        <f>IF(D24&gt;2,0,IF(D24=2,5,IF(D24=1,10,IF(D24&lt;1,15))))</f>
        <v>15</v>
      </c>
      <c r="U24" s="15">
        <f>IF(E24&gt;=2,0,IF(E24=1,5,IF(E24=0,10)))</f>
        <v>10</v>
      </c>
      <c r="V24" s="15">
        <f>IF(Q24&lt;0.5,0,IF(Q24&lt;0.75,5,IF(Q24&lt;1,10,IF(Q24&lt;1.2,15,IF(Q24&gt;=1.2,20)))))</f>
        <v>20</v>
      </c>
      <c r="W24" s="15">
        <f>IF(N24&lt;25000000,0,IF(N24&lt;50000000,5,IF(N24&lt;100000000,10,IF(N24&gt;=100000000,15))))</f>
        <v>0</v>
      </c>
      <c r="X24" s="15">
        <f>IF(R24&lt;0.1,0,IF(R24&lt;0.2,5,IF(R24&lt;0.4,10,IF(R24&lt;0.6,15,IF(R24&gt;=0.6,20)))))</f>
        <v>15</v>
      </c>
      <c r="Y24" s="15">
        <f>IF(S24&lt;1,0,IF(S24&lt;2,5,IF(S24&gt;=2,10)))</f>
        <v>5</v>
      </c>
      <c r="Z24" s="15">
        <f>IF(O24&lt;10,0,IF(O24&lt;20,5,IF(O24&gt;=20,10)))</f>
        <v>0</v>
      </c>
      <c r="AA24" s="16">
        <f>SUM(T24:Z24)</f>
        <v>65</v>
      </c>
      <c r="AB24" s="16" t="str">
        <f>IF(AA24&lt;30,"Grey",IF(AA24&lt;50,"Red",IF(AA24&lt;70,"Amber",IF(AA24&gt;=70,"Green"))))</f>
        <v>Amber</v>
      </c>
    </row>
    <row r="25" spans="1:28" ht="17.25" thickBot="1" x14ac:dyDescent="0.35">
      <c r="A25" t="s">
        <v>23</v>
      </c>
      <c r="C25" s="1">
        <v>4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2</v>
      </c>
      <c r="J25" s="1">
        <v>6</v>
      </c>
      <c r="K25" s="1">
        <v>2</v>
      </c>
      <c r="L25" s="1">
        <v>2</v>
      </c>
      <c r="M25" s="1">
        <v>5</v>
      </c>
      <c r="N25" s="28">
        <v>925200</v>
      </c>
      <c r="O25" s="1">
        <v>7</v>
      </c>
      <c r="P25" s="13">
        <f>H25+I25</f>
        <v>3</v>
      </c>
      <c r="Q25" s="14">
        <f>P25/(C25+D25+E25+F25+G25)</f>
        <v>0.75</v>
      </c>
      <c r="R25" s="14">
        <f>L25/(C25+D25+E25+F25+G25)</f>
        <v>0.5</v>
      </c>
      <c r="S25" s="14">
        <f>M25/(C25+D25+E25+F25+G25)</f>
        <v>1.25</v>
      </c>
      <c r="T25" s="15">
        <f>IF(D25&gt;2,0,IF(D25=2,5,IF(D25=1,10,IF(D25&lt;1,15))))</f>
        <v>15</v>
      </c>
      <c r="U25" s="15">
        <f>IF(E25&gt;=2,0,IF(E25=1,5,IF(E25=0,10)))</f>
        <v>10</v>
      </c>
      <c r="V25" s="15">
        <f>IF(Q25&lt;0.5,0,IF(Q25&lt;0.75,5,IF(Q25&lt;1,10,IF(Q25&lt;1.2,15,IF(Q25&gt;=1.2,20)))))</f>
        <v>10</v>
      </c>
      <c r="W25" s="15">
        <f>IF(N25&lt;25000000,0,IF(N25&lt;50000000,5,IF(N25&lt;100000000,10,IF(N25&gt;=100000000,15))))</f>
        <v>0</v>
      </c>
      <c r="X25" s="15">
        <f>IF(R25&lt;0.1,0,IF(R25&lt;0.2,5,IF(R25&lt;0.4,10,IF(R25&lt;0.6,15,IF(R25&gt;=0.6,20)))))</f>
        <v>15</v>
      </c>
      <c r="Y25" s="15">
        <f>IF(S25&lt;1,0,IF(S25&lt;2,5,IF(S25&gt;=2,10)))</f>
        <v>5</v>
      </c>
      <c r="Z25" s="15">
        <f>IF(O25&lt;10,0,IF(O25&lt;20,5,IF(O25&gt;=20,10)))</f>
        <v>0</v>
      </c>
      <c r="AA25" s="16">
        <f>SUM(T25:Z25)</f>
        <v>55</v>
      </c>
      <c r="AB25" s="16" t="str">
        <f>IF(AA25&lt;30,"Grey",IF(AA25&lt;50,"Red",IF(AA25&lt;70,"Amber",IF(AA25&gt;=70,"Green"))))</f>
        <v>Amber</v>
      </c>
    </row>
    <row r="26" spans="1:28" ht="17.25" thickBot="1" x14ac:dyDescent="0.35">
      <c r="A26" t="s">
        <v>68</v>
      </c>
      <c r="C26" s="1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5</v>
      </c>
      <c r="J26" s="1">
        <v>5</v>
      </c>
      <c r="K26" s="1">
        <v>2</v>
      </c>
      <c r="L26" s="1">
        <v>0</v>
      </c>
      <c r="M26" s="1">
        <v>11</v>
      </c>
      <c r="N26" s="28">
        <v>1050000</v>
      </c>
      <c r="O26" s="1">
        <v>2</v>
      </c>
      <c r="P26" s="13">
        <f>H26+I26</f>
        <v>5</v>
      </c>
      <c r="Q26" s="14">
        <f>P26/(C26+D26+E26+F26+G26)</f>
        <v>1.25</v>
      </c>
      <c r="R26" s="14">
        <f>L26/(C26+D26+E26+F26+G26)</f>
        <v>0</v>
      </c>
      <c r="S26" s="14">
        <f>M26/(C26+D26+E26+F26+G26)</f>
        <v>2.75</v>
      </c>
      <c r="T26" s="15">
        <f>IF(D26&gt;2,0,IF(D26=2,5,IF(D26=1,10,IF(D26&lt;1,15))))</f>
        <v>15</v>
      </c>
      <c r="U26" s="15">
        <f>IF(E26&gt;=2,0,IF(E26=1,5,IF(E26=0,10)))</f>
        <v>10</v>
      </c>
      <c r="V26" s="15">
        <f>IF(Q26&lt;0.5,0,IF(Q26&lt;0.75,5,IF(Q26&lt;1,10,IF(Q26&lt;1.2,15,IF(Q26&gt;=1.2,20)))))</f>
        <v>20</v>
      </c>
      <c r="W26" s="15">
        <f>IF(N26&lt;25000000,0,IF(N26&lt;50000000,5,IF(N26&lt;100000000,10,IF(N26&gt;=100000000,15))))</f>
        <v>0</v>
      </c>
      <c r="X26" s="15">
        <f>IF(R26&lt;0.1,0,IF(R26&lt;0.2,5,IF(R26&lt;0.4,10,IF(R26&lt;0.6,15,IF(R26&gt;=0.6,20)))))</f>
        <v>0</v>
      </c>
      <c r="Y26" s="15">
        <f>IF(S26&lt;1,0,IF(S26&lt;2,5,IF(S26&gt;=2,10)))</f>
        <v>10</v>
      </c>
      <c r="Z26" s="15">
        <f>IF(O26&lt;10,0,IF(O26&lt;20,5,IF(O26&gt;=20,10)))</f>
        <v>0</v>
      </c>
      <c r="AA26" s="16">
        <f>SUM(T26:Z26)</f>
        <v>55</v>
      </c>
      <c r="AB26" s="16" t="str">
        <f>IF(AA26&lt;30,"Grey",IF(AA26&lt;50,"Red",IF(AA26&lt;70,"Amber",IF(AA26&gt;=70,"Green"))))</f>
        <v>Amber</v>
      </c>
    </row>
    <row r="27" spans="1:28" ht="17.25" thickBot="1" x14ac:dyDescent="0.35">
      <c r="A27" t="s">
        <v>7</v>
      </c>
      <c r="C27" s="2">
        <v>4</v>
      </c>
      <c r="D27" s="2">
        <v>0</v>
      </c>
      <c r="E27" s="2">
        <v>0</v>
      </c>
      <c r="F27" s="2">
        <v>0</v>
      </c>
      <c r="G27" s="2">
        <v>0</v>
      </c>
      <c r="H27" s="2">
        <v>2</v>
      </c>
      <c r="I27" s="2">
        <v>0</v>
      </c>
      <c r="J27" s="2">
        <v>0</v>
      </c>
      <c r="K27" s="2">
        <v>1</v>
      </c>
      <c r="L27" s="2">
        <v>0</v>
      </c>
      <c r="M27" s="2">
        <v>12</v>
      </c>
      <c r="N27" s="18">
        <v>3470000</v>
      </c>
      <c r="O27" s="2">
        <v>4</v>
      </c>
      <c r="P27" s="13">
        <f>H27+I27</f>
        <v>2</v>
      </c>
      <c r="Q27" s="14">
        <f>P27/(C27+D27+E27+F27+G27)</f>
        <v>0.5</v>
      </c>
      <c r="R27" s="14">
        <f>L27/(C27+D27+E27+F27+G27)</f>
        <v>0</v>
      </c>
      <c r="S27" s="14">
        <f>M27/(C27+D27+E27+F27+G27)</f>
        <v>3</v>
      </c>
      <c r="T27" s="15">
        <f>IF(D27&gt;2,0,IF(D27=2,5,IF(D27=1,10,IF(D27&lt;1,15))))</f>
        <v>15</v>
      </c>
      <c r="U27" s="15">
        <f>IF(E27&gt;=2,0,IF(E27=1,5,IF(E27=0,10)))</f>
        <v>10</v>
      </c>
      <c r="V27" s="15">
        <f>IF(Q27&lt;0.5,0,IF(Q27&lt;0.75,5,IF(Q27&lt;1,10,IF(Q27&lt;1.2,15,IF(Q27&gt;=1.2,20)))))</f>
        <v>5</v>
      </c>
      <c r="W27" s="15">
        <f>IF(N27&lt;25000000,0,IF(N27&lt;50000000,5,IF(N27&lt;100000000,10,IF(N27&gt;=100000000,15))))</f>
        <v>0</v>
      </c>
      <c r="X27" s="15">
        <f>IF(R27&lt;0.1,0,IF(R27&lt;0.2,5,IF(R27&lt;0.4,10,IF(R27&lt;0.6,15,IF(R27&gt;=0.6,20)))))</f>
        <v>0</v>
      </c>
      <c r="Y27" s="15">
        <f>IF(S27&lt;1,0,IF(S27&lt;2,5,IF(S27&gt;=2,10)))</f>
        <v>10</v>
      </c>
      <c r="Z27" s="15">
        <f>IF(O27&lt;10,0,IF(O27&lt;20,5,IF(O27&gt;=20,10)))</f>
        <v>0</v>
      </c>
      <c r="AA27" s="16">
        <f>SUM(T27:Z27)</f>
        <v>40</v>
      </c>
      <c r="AB27" s="16" t="str">
        <f>IF(AA27&lt;30,"Grey",IF(AA27&lt;50,"Red",IF(AA27&lt;70,"Amber",IF(AA27&gt;=70,"Green"))))</f>
        <v>Red</v>
      </c>
    </row>
    <row r="28" spans="1:28" ht="17.25" thickBot="1" x14ac:dyDescent="0.35">
      <c r="A28" t="s">
        <v>8</v>
      </c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4</v>
      </c>
      <c r="I28" s="1">
        <v>11</v>
      </c>
      <c r="J28" s="1">
        <v>0</v>
      </c>
      <c r="K28" s="1">
        <v>4</v>
      </c>
      <c r="L28" s="1">
        <v>0</v>
      </c>
      <c r="M28" s="1">
        <v>8</v>
      </c>
      <c r="N28" s="29">
        <v>15314000</v>
      </c>
      <c r="O28" s="1">
        <v>0</v>
      </c>
      <c r="P28" s="13">
        <f>H28+I28</f>
        <v>15</v>
      </c>
      <c r="Q28" s="14">
        <f>P28/(C28+D28+E28+F28+G28)</f>
        <v>3.75</v>
      </c>
      <c r="R28" s="14">
        <f>L28/(C28+D28+E28+F28+G28)</f>
        <v>0</v>
      </c>
      <c r="S28" s="14">
        <f>M28/(C28+D28+E28+F28+G28)</f>
        <v>2</v>
      </c>
      <c r="T28" s="15">
        <f>IF(D28&gt;2,0,IF(D28=2,5,IF(D28=1,10,IF(D28&lt;1,15))))</f>
        <v>15</v>
      </c>
      <c r="U28" s="15">
        <f>IF(E28&gt;=2,0,IF(E28=1,5,IF(E28=0,10)))</f>
        <v>10</v>
      </c>
      <c r="V28" s="15">
        <f>IF(Q28&lt;0.5,0,IF(Q28&lt;0.75,5,IF(Q28&lt;1,10,IF(Q28&lt;1.2,15,IF(Q28&gt;=1.2,20)))))</f>
        <v>20</v>
      </c>
      <c r="W28" s="15">
        <f>IF(N28&lt;25000000,0,IF(N28&lt;50000000,5,IF(N28&lt;100000000,10,IF(N28&gt;=100000000,15))))</f>
        <v>0</v>
      </c>
      <c r="X28" s="15">
        <f>IF(R28&lt;0.1,0,IF(R28&lt;0.2,5,IF(R28&lt;0.4,10,IF(R28&lt;0.6,15,IF(R28&gt;=0.6,20)))))</f>
        <v>0</v>
      </c>
      <c r="Y28" s="15">
        <f>IF(S28&lt;1,0,IF(S28&lt;2,5,IF(S28&gt;=2,10)))</f>
        <v>10</v>
      </c>
      <c r="Z28" s="15">
        <f>IF(O28&lt;10,0,IF(O28&lt;20,5,IF(O28&gt;=20,10)))</f>
        <v>0</v>
      </c>
      <c r="AA28" s="16">
        <f>SUM(T28:Z28)</f>
        <v>55</v>
      </c>
      <c r="AB28" s="16" t="str">
        <f>IF(AA28&lt;30,"Grey",IF(AA28&lt;50,"Red",IF(AA28&lt;70,"Amber",IF(AA28&gt;=70,"Green"))))</f>
        <v>Amber</v>
      </c>
    </row>
    <row r="29" spans="1:28" ht="17.25" thickBot="1" x14ac:dyDescent="0.35">
      <c r="A29" t="s">
        <v>64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3</v>
      </c>
      <c r="I29" s="1">
        <v>2</v>
      </c>
      <c r="J29" s="1">
        <v>1</v>
      </c>
      <c r="K29" s="1">
        <v>7</v>
      </c>
      <c r="L29" s="1">
        <v>0</v>
      </c>
      <c r="M29" s="1">
        <v>8</v>
      </c>
      <c r="N29" s="28">
        <v>411300</v>
      </c>
      <c r="O29" s="1">
        <v>4</v>
      </c>
      <c r="P29" s="13">
        <f>H29+I29</f>
        <v>5</v>
      </c>
      <c r="Q29" s="14">
        <f>P29/(C29+D29+E29+F29+G29)</f>
        <v>1.25</v>
      </c>
      <c r="R29" s="14">
        <f>L29/(C29+D29+E29+F29+G29)</f>
        <v>0</v>
      </c>
      <c r="S29" s="14">
        <f>M29/(C29+D29+E29+F29+G29)</f>
        <v>2</v>
      </c>
      <c r="T29" s="15">
        <f>IF(D29&gt;2,0,IF(D29=2,5,IF(D29=1,10,IF(D29&lt;1,15))))</f>
        <v>15</v>
      </c>
      <c r="U29" s="15">
        <f>IF(E29&gt;=2,0,IF(E29=1,5,IF(E29=0,10)))</f>
        <v>10</v>
      </c>
      <c r="V29" s="15">
        <f>IF(Q29&lt;0.5,0,IF(Q29&lt;0.75,5,IF(Q29&lt;1,10,IF(Q29&lt;1.2,15,IF(Q29&gt;=1.2,20)))))</f>
        <v>20</v>
      </c>
      <c r="W29" s="15">
        <f>IF(N29&lt;25000000,0,IF(N29&lt;50000000,5,IF(N29&lt;100000000,10,IF(N29&gt;=100000000,15))))</f>
        <v>0</v>
      </c>
      <c r="X29" s="15">
        <f>IF(R29&lt;0.1,0,IF(R29&lt;0.2,5,IF(R29&lt;0.4,10,IF(R29&lt;0.6,15,IF(R29&gt;=0.6,20)))))</f>
        <v>0</v>
      </c>
      <c r="Y29" s="15">
        <f>IF(S29&lt;1,0,IF(S29&lt;2,5,IF(S29&gt;=2,10)))</f>
        <v>10</v>
      </c>
      <c r="Z29" s="15">
        <f>IF(O29&lt;10,0,IF(O29&lt;20,5,IF(O29&gt;=20,10)))</f>
        <v>0</v>
      </c>
      <c r="AA29" s="16">
        <f>SUM(T29:Z29)</f>
        <v>55</v>
      </c>
      <c r="AB29" s="16" t="str">
        <f>IF(AA29&lt;30,"Grey",IF(AA29&lt;50,"Red",IF(AA29&lt;70,"Amber",IF(AA29&gt;=70,"Green"))))</f>
        <v>Amber</v>
      </c>
    </row>
    <row r="30" spans="1:28" ht="17.25" thickBot="1" x14ac:dyDescent="0.35">
      <c r="A30" t="s">
        <v>6</v>
      </c>
      <c r="C30" s="2">
        <v>3</v>
      </c>
      <c r="D30" s="2">
        <v>0</v>
      </c>
      <c r="E30" s="2">
        <v>1</v>
      </c>
      <c r="F30" s="2">
        <v>0</v>
      </c>
      <c r="G30" s="2">
        <v>0</v>
      </c>
      <c r="H30" s="2">
        <v>1</v>
      </c>
      <c r="I30" s="2">
        <v>6</v>
      </c>
      <c r="J30" s="2">
        <v>0</v>
      </c>
      <c r="K30" s="2">
        <v>12</v>
      </c>
      <c r="L30" s="2">
        <v>0</v>
      </c>
      <c r="M30" s="2">
        <v>13</v>
      </c>
      <c r="N30" s="18">
        <v>4640000</v>
      </c>
      <c r="O30" s="2">
        <v>11</v>
      </c>
      <c r="P30" s="13">
        <f>H30+I30</f>
        <v>7</v>
      </c>
      <c r="Q30" s="14">
        <f>P30/(C30+D30+E30+F30+G30)</f>
        <v>1.75</v>
      </c>
      <c r="R30" s="14">
        <f>L30/(C30+D30+E30+F30+G30)</f>
        <v>0</v>
      </c>
      <c r="S30" s="14">
        <f>M30/(C30+D30+E30+F30+G30)</f>
        <v>3.25</v>
      </c>
      <c r="T30" s="15">
        <f>IF(D30&gt;2,0,IF(D30=2,5,IF(D30=1,10,IF(D30&lt;1,15))))</f>
        <v>15</v>
      </c>
      <c r="U30" s="15">
        <f>IF(E30&gt;=2,0,IF(E30=1,5,IF(E30=0,10)))</f>
        <v>5</v>
      </c>
      <c r="V30" s="15">
        <f>IF(Q30&lt;0.5,0,IF(Q30&lt;0.75,5,IF(Q30&lt;1,10,IF(Q30&lt;1.2,15,IF(Q30&gt;=1.2,20)))))</f>
        <v>20</v>
      </c>
      <c r="W30" s="15">
        <f>IF(N30&lt;25000000,0,IF(N30&lt;50000000,5,IF(N30&lt;100000000,10,IF(N30&gt;=100000000,15))))</f>
        <v>0</v>
      </c>
      <c r="X30" s="15">
        <f>IF(R30&lt;0.1,0,IF(R30&lt;0.2,5,IF(R30&lt;0.4,10,IF(R30&lt;0.6,15,IF(R30&gt;=0.6,20)))))</f>
        <v>0</v>
      </c>
      <c r="Y30" s="15">
        <f>IF(S30&lt;1,0,IF(S30&lt;2,5,IF(S30&gt;=2,10)))</f>
        <v>10</v>
      </c>
      <c r="Z30" s="15">
        <f>IF(O30&lt;10,0,IF(O30&lt;20,5,IF(O30&gt;=20,10)))</f>
        <v>5</v>
      </c>
      <c r="AA30" s="16">
        <f>SUM(T30:Z30)</f>
        <v>55</v>
      </c>
      <c r="AB30" s="16" t="str">
        <f>IF(AA30&lt;30,"Grey",IF(AA30&lt;50,"Red",IF(AA30&lt;70,"Amber",IF(AA30&gt;=70,"Green"))))</f>
        <v>Amber</v>
      </c>
    </row>
    <row r="31" spans="1:28" ht="17.25" thickBot="1" x14ac:dyDescent="0.35">
      <c r="A31" t="s">
        <v>1</v>
      </c>
      <c r="C31" s="1">
        <v>4</v>
      </c>
      <c r="D31" s="1">
        <v>0</v>
      </c>
      <c r="E31" s="1">
        <v>0</v>
      </c>
      <c r="F31" s="1">
        <v>0</v>
      </c>
      <c r="G31" s="1">
        <v>0</v>
      </c>
      <c r="H31" s="1">
        <v>2</v>
      </c>
      <c r="I31" s="1">
        <v>7</v>
      </c>
      <c r="J31" s="1">
        <v>2</v>
      </c>
      <c r="K31" s="1">
        <v>12</v>
      </c>
      <c r="L31" s="1">
        <v>0</v>
      </c>
      <c r="M31" s="1">
        <v>9</v>
      </c>
      <c r="N31" s="28">
        <v>3200000</v>
      </c>
      <c r="O31" s="1">
        <v>3</v>
      </c>
      <c r="P31" s="13">
        <f>H31+I31</f>
        <v>9</v>
      </c>
      <c r="Q31" s="14">
        <f>P31/(C31+D31+E31+F31+G31)</f>
        <v>2.25</v>
      </c>
      <c r="R31" s="14">
        <f>L31/(C31+D31+E31+F31+G31)</f>
        <v>0</v>
      </c>
      <c r="S31" s="14">
        <f>M31/(C31+D31+E31+F31+G31)</f>
        <v>2.25</v>
      </c>
      <c r="T31" s="15">
        <f>IF(D31&gt;2,0,IF(D31=2,5,IF(D31=1,10,IF(D31&lt;1,15))))</f>
        <v>15</v>
      </c>
      <c r="U31" s="15">
        <f>IF(E31&gt;=2,0,IF(E31=1,5,IF(E31=0,10)))</f>
        <v>10</v>
      </c>
      <c r="V31" s="15">
        <f>IF(Q31&lt;0.5,0,IF(Q31&lt;0.75,5,IF(Q31&lt;1,10,IF(Q31&lt;1.2,15,IF(Q31&gt;=1.2,20)))))</f>
        <v>20</v>
      </c>
      <c r="W31" s="15">
        <f>IF(N31&lt;25000000,0,IF(N31&lt;50000000,5,IF(N31&lt;100000000,10,IF(N31&gt;=100000000,15))))</f>
        <v>0</v>
      </c>
      <c r="X31" s="15">
        <f>IF(R31&lt;0.1,0,IF(R31&lt;0.2,5,IF(R31&lt;0.4,10,IF(R31&lt;0.6,15,IF(R31&gt;=0.6,20)))))</f>
        <v>0</v>
      </c>
      <c r="Y31" s="15">
        <f>IF(S31&lt;1,0,IF(S31&lt;2,5,IF(S31&gt;=2,10)))</f>
        <v>10</v>
      </c>
      <c r="Z31" s="15">
        <f>IF(O31&lt;10,0,IF(O31&lt;20,5,IF(O31&gt;=20,10)))</f>
        <v>0</v>
      </c>
      <c r="AA31" s="16">
        <f>SUM(T31:Z31)</f>
        <v>55</v>
      </c>
      <c r="AB31" s="16" t="str">
        <f>IF(AA31&lt;30,"Grey",IF(AA31&lt;50,"Red",IF(AA31&lt;70,"Amber",IF(AA31&gt;=70,"Green"))))</f>
        <v>Amber</v>
      </c>
    </row>
    <row r="32" spans="1:28" ht="17.25" thickBot="1" x14ac:dyDescent="0.35">
      <c r="A32" t="s">
        <v>2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2</v>
      </c>
      <c r="J32" s="1">
        <v>2</v>
      </c>
      <c r="K32" s="1">
        <v>1</v>
      </c>
      <c r="L32" s="1">
        <v>0</v>
      </c>
      <c r="M32" s="1">
        <v>10</v>
      </c>
      <c r="N32" s="28">
        <v>200000</v>
      </c>
      <c r="O32" s="1">
        <v>0</v>
      </c>
      <c r="P32" s="13">
        <f>H32+I32</f>
        <v>3</v>
      </c>
      <c r="Q32" s="14">
        <f>P32/(C32+D32+E32+F32+G32)</f>
        <v>0.75</v>
      </c>
      <c r="R32" s="14">
        <f>L32/(C32+D32+E32+F32+G32)</f>
        <v>0</v>
      </c>
      <c r="S32" s="14">
        <f>M32/(C32+D32+E32+F32+G32)</f>
        <v>2.5</v>
      </c>
      <c r="T32" s="15">
        <f>IF(D32&gt;2,0,IF(D32=2,5,IF(D32=1,10,IF(D32&lt;1,15))))</f>
        <v>15</v>
      </c>
      <c r="U32" s="15">
        <f>IF(E32&gt;=2,0,IF(E32=1,5,IF(E32=0,10)))</f>
        <v>10</v>
      </c>
      <c r="V32" s="15">
        <f>IF(Q32&lt;0.5,0,IF(Q32&lt;0.75,5,IF(Q32&lt;1,10,IF(Q32&lt;1.2,15,IF(Q32&gt;=1.2,20)))))</f>
        <v>10</v>
      </c>
      <c r="W32" s="15">
        <f>IF(N32&lt;25000000,0,IF(N32&lt;50000000,5,IF(N32&lt;100000000,10,IF(N32&gt;=100000000,15))))</f>
        <v>0</v>
      </c>
      <c r="X32" s="15">
        <f>IF(R32&lt;0.1,0,IF(R32&lt;0.2,5,IF(R32&lt;0.4,10,IF(R32&lt;0.6,15,IF(R32&gt;=0.6,20)))))</f>
        <v>0</v>
      </c>
      <c r="Y32" s="15">
        <f>IF(S32&lt;1,0,IF(S32&lt;2,5,IF(S32&gt;=2,10)))</f>
        <v>10</v>
      </c>
      <c r="Z32" s="15">
        <f>IF(O32&lt;10,0,IF(O32&lt;20,5,IF(O32&gt;=20,10)))</f>
        <v>0</v>
      </c>
      <c r="AA32" s="16">
        <f>SUM(T32:Z32)</f>
        <v>45</v>
      </c>
      <c r="AB32" s="16" t="str">
        <f>IF(AA32&lt;30,"Grey",IF(AA32&lt;50,"Red",IF(AA32&lt;70,"Amber",IF(AA32&gt;=70,"Green"))))</f>
        <v>Red</v>
      </c>
    </row>
    <row r="33" spans="1:28" ht="17.25" thickBot="1" x14ac:dyDescent="0.35">
      <c r="A33" t="s">
        <v>3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18">
        <v>0</v>
      </c>
      <c r="O33" s="2">
        <v>0</v>
      </c>
      <c r="P33" s="13">
        <f>H33+I33</f>
        <v>0</v>
      </c>
      <c r="Q33" s="14">
        <f>P33/(C33+D33+E33+F33+G33)</f>
        <v>0</v>
      </c>
      <c r="R33" s="14">
        <f>L33/(C33+D33+E33+F33+G33)</f>
        <v>0</v>
      </c>
      <c r="S33" s="14">
        <f>M33/(C33+D33+E33+F33+G33)</f>
        <v>0</v>
      </c>
      <c r="T33" s="15">
        <f>IF(D33&gt;2,0,IF(D33=2,5,IF(D33=1,10,IF(D33&lt;1,15))))</f>
        <v>15</v>
      </c>
      <c r="U33" s="15">
        <f>IF(E33&gt;=2,0,IF(E33=1,5,IF(E33=0,10)))</f>
        <v>10</v>
      </c>
      <c r="V33" s="15">
        <f>IF(Q33&lt;0.5,0,IF(Q33&lt;0.75,5,IF(Q33&lt;1,10,IF(Q33&lt;1.2,15,IF(Q33&gt;=1.2,20)))))</f>
        <v>0</v>
      </c>
      <c r="W33" s="15">
        <f>IF(N33&lt;25000000,0,IF(N33&lt;50000000,5,IF(N33&lt;100000000,10,IF(N33&gt;=100000000,15))))</f>
        <v>0</v>
      </c>
      <c r="X33" s="15">
        <f>IF(R33&lt;0.1,0,IF(R33&lt;0.2,5,IF(R33&lt;0.4,10,IF(R33&lt;0.6,15,IF(R33&gt;=0.6,20)))))</f>
        <v>0</v>
      </c>
      <c r="Y33" s="15">
        <f>IF(S33&lt;1,0,IF(S33&lt;2,5,IF(S33&gt;=2,10)))</f>
        <v>0</v>
      </c>
      <c r="Z33" s="15">
        <f>IF(O33&lt;10,0,IF(O33&lt;20,5,IF(O33&gt;=20,10)))</f>
        <v>0</v>
      </c>
      <c r="AA33" s="16">
        <f>SUM(T33:Z33)</f>
        <v>25</v>
      </c>
      <c r="AB33" s="16" t="str">
        <f>IF(AA33&lt;30,"Grey",IF(AA33&lt;50,"Red",IF(AA33&lt;70,"Amber",IF(AA33&gt;=70,"Green"))))</f>
        <v>Grey</v>
      </c>
    </row>
    <row r="34" spans="1:28" ht="17.25" thickBot="1" x14ac:dyDescent="0.35">
      <c r="A34" t="s">
        <v>4</v>
      </c>
      <c r="C34" s="1">
        <v>4</v>
      </c>
      <c r="D34" s="1">
        <v>0</v>
      </c>
      <c r="E34" s="1">
        <v>0</v>
      </c>
      <c r="F34" s="1">
        <v>0</v>
      </c>
      <c r="G34" s="1">
        <v>0</v>
      </c>
      <c r="H34" s="1">
        <v>3</v>
      </c>
      <c r="I34" s="1">
        <v>17</v>
      </c>
      <c r="J34" s="1">
        <v>0</v>
      </c>
      <c r="K34" s="1">
        <v>0</v>
      </c>
      <c r="L34" s="1">
        <v>0</v>
      </c>
      <c r="M34" s="1">
        <v>15</v>
      </c>
      <c r="N34" s="28">
        <v>1058000</v>
      </c>
      <c r="O34" s="1">
        <v>4</v>
      </c>
      <c r="P34" s="13">
        <f>H34+I34</f>
        <v>20</v>
      </c>
      <c r="Q34" s="14">
        <f>P34/(C34+D34+E34+F34+G34)</f>
        <v>5</v>
      </c>
      <c r="R34" s="14">
        <f>L34/(C34+D34+E34+F34+G34)</f>
        <v>0</v>
      </c>
      <c r="S34" s="14">
        <f>M34/(C34+D34+E34+F34+G34)</f>
        <v>3.75</v>
      </c>
      <c r="T34" s="15">
        <f>IF(D34&gt;2,0,IF(D34=2,5,IF(D34=1,10,IF(D34&lt;1,15))))</f>
        <v>15</v>
      </c>
      <c r="U34" s="15">
        <f>IF(E34&gt;=2,0,IF(E34=1,5,IF(E34=0,10)))</f>
        <v>10</v>
      </c>
      <c r="V34" s="15">
        <f>IF(Q34&lt;0.5,0,IF(Q34&lt;0.75,5,IF(Q34&lt;1,10,IF(Q34&lt;1.2,15,IF(Q34&gt;=1.2,20)))))</f>
        <v>20</v>
      </c>
      <c r="W34" s="15">
        <f>IF(N34&lt;25000000,0,IF(N34&lt;50000000,5,IF(N34&lt;100000000,10,IF(N34&gt;=100000000,15))))</f>
        <v>0</v>
      </c>
      <c r="X34" s="15">
        <f>IF(R34&lt;0.1,0,IF(R34&lt;0.2,5,IF(R34&lt;0.4,10,IF(R34&lt;0.6,15,IF(R34&gt;=0.6,20)))))</f>
        <v>0</v>
      </c>
      <c r="Y34" s="15">
        <f>IF(S34&lt;1,0,IF(S34&lt;2,5,IF(S34&gt;=2,10)))</f>
        <v>10</v>
      </c>
      <c r="Z34" s="15">
        <f>IF(O34&lt;10,0,IF(O34&lt;20,5,IF(O34&gt;=20,10)))</f>
        <v>0</v>
      </c>
      <c r="AA34" s="16">
        <f>SUM(T34:Z34)</f>
        <v>55</v>
      </c>
      <c r="AB34" s="16" t="str">
        <f>IF(AA34&lt;30,"Grey",IF(AA34&lt;50,"Red",IF(AA34&lt;70,"Amber",IF(AA34&gt;=70,"Green"))))</f>
        <v>Amber</v>
      </c>
    </row>
    <row r="35" spans="1:28" ht="17.25" thickBot="1" x14ac:dyDescent="0.35">
      <c r="A35" t="s">
        <v>5</v>
      </c>
      <c r="C35" s="2">
        <v>4</v>
      </c>
      <c r="D35" s="2">
        <v>0</v>
      </c>
      <c r="E35" s="2">
        <v>0</v>
      </c>
      <c r="F35" s="2">
        <v>0</v>
      </c>
      <c r="G35" s="2">
        <v>0</v>
      </c>
      <c r="H35" s="2">
        <v>2</v>
      </c>
      <c r="I35" s="2">
        <v>6</v>
      </c>
      <c r="J35" s="2">
        <v>4</v>
      </c>
      <c r="K35" s="2">
        <v>9</v>
      </c>
      <c r="L35" s="2">
        <v>1</v>
      </c>
      <c r="M35" s="2">
        <v>9</v>
      </c>
      <c r="N35" s="18">
        <v>58000</v>
      </c>
      <c r="O35" s="2">
        <v>13</v>
      </c>
      <c r="P35" s="13">
        <f>H35+I35</f>
        <v>8</v>
      </c>
      <c r="Q35" s="14">
        <f>P35/(C35+D35+E35+F35+G35)</f>
        <v>2</v>
      </c>
      <c r="R35" s="14">
        <f>L35/(C35+D35+E35+F35+G35)</f>
        <v>0.25</v>
      </c>
      <c r="S35" s="14">
        <f>M35/(C35+D35+E35+F35+G35)</f>
        <v>2.25</v>
      </c>
      <c r="T35" s="15">
        <f>IF(D35&gt;2,0,IF(D35=2,5,IF(D35=1,10,IF(D35&lt;1,15))))</f>
        <v>15</v>
      </c>
      <c r="U35" s="15">
        <f>IF(E35&gt;=2,0,IF(E35=1,5,IF(E35=0,10)))</f>
        <v>10</v>
      </c>
      <c r="V35" s="15">
        <f>IF(Q35&lt;0.5,0,IF(Q35&lt;0.75,5,IF(Q35&lt;1,10,IF(Q35&lt;1.2,15,IF(Q35&gt;=1.2,20)))))</f>
        <v>20</v>
      </c>
      <c r="W35" s="15">
        <f>IF(N35&lt;25000000,0,IF(N35&lt;50000000,5,IF(N35&lt;100000000,10,IF(N35&gt;=100000000,15))))</f>
        <v>0</v>
      </c>
      <c r="X35" s="15">
        <f>IF(R35&lt;0.1,0,IF(R35&lt;0.2,5,IF(R35&lt;0.4,10,IF(R35&lt;0.6,15,IF(R35&gt;=0.6,20)))))</f>
        <v>10</v>
      </c>
      <c r="Y35" s="15">
        <f>IF(S35&lt;1,0,IF(S35&lt;2,5,IF(S35&gt;=2,10)))</f>
        <v>10</v>
      </c>
      <c r="Z35" s="15">
        <f>IF(O35&lt;10,0,IF(O35&lt;20,5,IF(O35&gt;=20,10)))</f>
        <v>5</v>
      </c>
      <c r="AA35" s="16">
        <f>SUM(T35:Z35)</f>
        <v>70</v>
      </c>
      <c r="AB35" s="16" t="str">
        <f>IF(AA35&lt;30,"Grey",IF(AA35&lt;50,"Red",IF(AA35&lt;70,"Amber",IF(AA35&gt;=70,"Green"))))</f>
        <v>Green</v>
      </c>
    </row>
  </sheetData>
  <autoFilter ref="A2:AB2" xr:uid="{B44A9C67-BFA9-4DFA-8491-00E5B0468CAA}">
    <sortState xmlns:xlrd2="http://schemas.microsoft.com/office/spreadsheetml/2017/richdata2" ref="A3:AB35">
      <sortCondition ref="A2"/>
    </sortState>
  </autoFilter>
  <phoneticPr fontId="5" type="noConversion"/>
  <conditionalFormatting sqref="AA3:AA35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8D7B-0ECA-41D4-BF54-FAAA29AB911F}">
  <dimension ref="A1:AB35"/>
  <sheetViews>
    <sheetView workbookViewId="0">
      <selection sqref="A1:XFD1048576"/>
    </sheetView>
  </sheetViews>
  <sheetFormatPr defaultRowHeight="16.5" x14ac:dyDescent="0.3"/>
  <cols>
    <col min="1" max="1" width="10.75" customWidth="1"/>
    <col min="2" max="2" width="6.375" customWidth="1"/>
    <col min="3" max="13" width="4.875" customWidth="1"/>
    <col min="15" max="15" width="4.875" customWidth="1"/>
    <col min="16" max="26" width="5.125" customWidth="1"/>
  </cols>
  <sheetData>
    <row r="1" spans="1:28" x14ac:dyDescent="0.3">
      <c r="A1" s="17" t="s">
        <v>61</v>
      </c>
      <c r="B1" s="17"/>
    </row>
    <row r="2" spans="1:28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8" ht="17.25" thickBot="1" x14ac:dyDescent="0.35">
      <c r="A3" t="s">
        <v>67</v>
      </c>
      <c r="C3" s="2">
        <v>4</v>
      </c>
      <c r="D3" s="2">
        <v>1</v>
      </c>
      <c r="E3" s="2">
        <v>0</v>
      </c>
      <c r="F3" s="2">
        <v>0</v>
      </c>
      <c r="G3" s="2">
        <v>0</v>
      </c>
      <c r="H3" s="2">
        <v>3</v>
      </c>
      <c r="I3" s="2">
        <v>0</v>
      </c>
      <c r="J3" s="2">
        <v>11</v>
      </c>
      <c r="K3" s="2">
        <v>45</v>
      </c>
      <c r="L3" s="2">
        <v>1</v>
      </c>
      <c r="M3" s="27">
        <v>24</v>
      </c>
      <c r="N3" s="2">
        <v>88250000</v>
      </c>
      <c r="O3" s="2">
        <v>2</v>
      </c>
      <c r="P3" s="13">
        <f>H3+I3</f>
        <v>3</v>
      </c>
      <c r="Q3" s="14">
        <f>P3/(C3+D3+E3+F3+G3)</f>
        <v>0.6</v>
      </c>
      <c r="R3" s="14">
        <f>L3/(C3+D3+E3+F3+G3)</f>
        <v>0.2</v>
      </c>
      <c r="S3" s="14">
        <f>M3/(C3+D3+E3+F3+G3)</f>
        <v>4.8</v>
      </c>
      <c r="T3" s="15">
        <f>IF(D3&gt;2,0,IF(D3=2,5,IF(D3=1,10,IF(D3&lt;1,15))))</f>
        <v>10</v>
      </c>
      <c r="U3" s="15">
        <f>IF(E3&gt;=2,0,IF(E3=1,5,IF(E3=0,10)))</f>
        <v>10</v>
      </c>
      <c r="V3" s="15">
        <f>IF(Q3&lt;0.5,0,IF(Q3&lt;0.75,5,IF(Q3&lt;1,10,IF(Q3&lt;1.2,15,IF(Q3&gt;=1.2,20)))))</f>
        <v>5</v>
      </c>
      <c r="W3" s="15">
        <f>IF(N3&lt;25000000,0,IF(N3&lt;50000000,5,IF(N3&lt;100000000,10,IF(N3&gt;=100000000,15))))</f>
        <v>10</v>
      </c>
      <c r="X3" s="15">
        <f>IF(R3&lt;0.1,0,IF(R3&lt;0.2,5,IF(R3&lt;0.4,10,IF(R3&lt;0.6,15,IF(R3&gt;=0.6,20)))))</f>
        <v>10</v>
      </c>
      <c r="Y3" s="15">
        <f>IF(S3&lt;1,0,IF(S3&lt;2,5,IF(S3&gt;=2,10)))</f>
        <v>10</v>
      </c>
      <c r="Z3" s="15">
        <f>IF(O3&lt;10,0,IF(O3&lt;20,5,IF(O3&gt;=20,10)))</f>
        <v>0</v>
      </c>
      <c r="AA3" s="16">
        <f>SUM(T3:Z3)</f>
        <v>55</v>
      </c>
      <c r="AB3" s="16" t="str">
        <f>IF(AA3&lt;30,"Grey",IF(AA3&lt;50,"Red",IF(AA3&lt;70,"Amber",IF(AA3&gt;=70,"Green"))))</f>
        <v>Amber</v>
      </c>
    </row>
    <row r="4" spans="1:28" ht="17.25" thickBot="1" x14ac:dyDescent="0.35">
      <c r="A4" t="s">
        <v>69</v>
      </c>
      <c r="C4" s="1">
        <v>5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3</v>
      </c>
      <c r="J4" s="1">
        <v>0</v>
      </c>
      <c r="K4" s="1">
        <v>0</v>
      </c>
      <c r="L4" s="1">
        <v>0</v>
      </c>
      <c r="M4" s="1">
        <v>10</v>
      </c>
      <c r="N4" s="1">
        <v>526300</v>
      </c>
      <c r="O4" s="1">
        <v>1</v>
      </c>
      <c r="P4" s="13">
        <f>H4+I4</f>
        <v>5</v>
      </c>
      <c r="Q4" s="14">
        <f>P4/(C4+D4+E4+F4+G4)</f>
        <v>1</v>
      </c>
      <c r="R4" s="14">
        <f>L4/(C4+D4+E4+F4+G4)</f>
        <v>0</v>
      </c>
      <c r="S4" s="14">
        <f>M4/(C4+D4+E4+F4+G4)</f>
        <v>2</v>
      </c>
      <c r="T4" s="15">
        <f>IF(D4&gt;2,0,IF(D4=2,5,IF(D4=1,10,IF(D4&lt;1,15))))</f>
        <v>15</v>
      </c>
      <c r="U4" s="15">
        <f>IF(E4&gt;=2,0,IF(E4=1,5,IF(E4=0,10)))</f>
        <v>10</v>
      </c>
      <c r="V4" s="15">
        <f>IF(Q4&lt;0.5,0,IF(Q4&lt;0.75,5,IF(Q4&lt;1,10,IF(Q4&lt;1.2,15,IF(Q4&gt;=1.2,20)))))</f>
        <v>15</v>
      </c>
      <c r="W4" s="15">
        <f>IF(N4&lt;25000000,0,IF(N4&lt;50000000,5,IF(N4&lt;100000000,10,IF(N4&gt;=100000000,15))))</f>
        <v>0</v>
      </c>
      <c r="X4" s="15">
        <f>IF(R4&lt;0.1,0,IF(R4&lt;0.2,5,IF(R4&lt;0.4,10,IF(R4&lt;0.6,15,IF(R4&gt;=0.6,20)))))</f>
        <v>0</v>
      </c>
      <c r="Y4" s="15">
        <f>IF(S4&lt;1,0,IF(S4&lt;2,5,IF(S4&gt;=2,10)))</f>
        <v>10</v>
      </c>
      <c r="Z4" s="15">
        <f>IF(O4&lt;10,0,IF(O4&lt;20,5,IF(O4&gt;=20,10)))</f>
        <v>0</v>
      </c>
      <c r="AA4" s="16">
        <f>SUM(T4:Z4)</f>
        <v>50</v>
      </c>
      <c r="AB4" s="16" t="str">
        <f>IF(AA4&lt;30,"Grey",IF(AA4&lt;50,"Red",IF(AA4&lt;70,"Amber",IF(AA4&gt;=70,"Green"))))</f>
        <v>Amber</v>
      </c>
    </row>
    <row r="5" spans="1:28" ht="17.25" thickBot="1" x14ac:dyDescent="0.35">
      <c r="A5" t="s">
        <v>17</v>
      </c>
      <c r="C5" s="2">
        <v>5</v>
      </c>
      <c r="D5" s="2">
        <v>0</v>
      </c>
      <c r="E5" s="2">
        <v>0</v>
      </c>
      <c r="F5" s="2">
        <v>0</v>
      </c>
      <c r="G5" s="2">
        <v>0</v>
      </c>
      <c r="H5" s="2">
        <v>4</v>
      </c>
      <c r="I5" s="2">
        <v>4</v>
      </c>
      <c r="J5" s="2">
        <v>0</v>
      </c>
      <c r="K5" s="2">
        <v>3</v>
      </c>
      <c r="L5" s="2">
        <v>0</v>
      </c>
      <c r="M5" s="2">
        <v>9</v>
      </c>
      <c r="N5" s="2">
        <v>2032200</v>
      </c>
      <c r="O5" s="2">
        <v>8</v>
      </c>
      <c r="P5" s="13">
        <f>H5+I5</f>
        <v>8</v>
      </c>
      <c r="Q5" s="14">
        <f>P5/(C5+D5+E5+F5+G5)</f>
        <v>1.6</v>
      </c>
      <c r="R5" s="14">
        <f>L5/(C5+D5+E5+F5+G5)</f>
        <v>0</v>
      </c>
      <c r="S5" s="14">
        <f>M5/(C5+D5+E5+F5+G5)</f>
        <v>1.8</v>
      </c>
      <c r="T5" s="15">
        <f>IF(D5&gt;2,0,IF(D5=2,5,IF(D5=1,10,IF(D5&lt;1,15))))</f>
        <v>15</v>
      </c>
      <c r="U5" s="15">
        <f>IF(E5&gt;=2,0,IF(E5=1,5,IF(E5=0,10)))</f>
        <v>10</v>
      </c>
      <c r="V5" s="15">
        <f>IF(Q5&lt;0.5,0,IF(Q5&lt;0.75,5,IF(Q5&lt;1,10,IF(Q5&lt;1.2,15,IF(Q5&gt;=1.2,20)))))</f>
        <v>20</v>
      </c>
      <c r="W5" s="15">
        <f>IF(N5&lt;25000000,0,IF(N5&lt;50000000,5,IF(N5&lt;100000000,10,IF(N5&gt;=100000000,15))))</f>
        <v>0</v>
      </c>
      <c r="X5" s="15">
        <f>IF(R5&lt;0.1,0,IF(R5&lt;0.2,5,IF(R5&lt;0.4,10,IF(R5&lt;0.6,15,IF(R5&gt;=0.6,20)))))</f>
        <v>0</v>
      </c>
      <c r="Y5" s="15">
        <f>IF(S5&lt;1,0,IF(S5&lt;2,5,IF(S5&gt;=2,10)))</f>
        <v>5</v>
      </c>
      <c r="Z5" s="15">
        <f>IF(O5&lt;10,0,IF(O5&lt;20,5,IF(O5&gt;=20,10)))</f>
        <v>0</v>
      </c>
      <c r="AA5" s="16">
        <f>SUM(T5:Z5)</f>
        <v>50</v>
      </c>
      <c r="AB5" s="16" t="str">
        <f>IF(AA5&lt;30,"Grey",IF(AA5&lt;50,"Red",IF(AA5&lt;70,"Amber",IF(AA5&gt;=70,"Green"))))</f>
        <v>Amber</v>
      </c>
    </row>
    <row r="6" spans="1:28" ht="17.25" thickBot="1" x14ac:dyDescent="0.35">
      <c r="A6" t="s">
        <v>15</v>
      </c>
      <c r="C6" s="2">
        <v>5</v>
      </c>
      <c r="D6" s="2">
        <v>0</v>
      </c>
      <c r="E6" s="2">
        <v>0</v>
      </c>
      <c r="F6" s="2">
        <v>0</v>
      </c>
      <c r="G6" s="2">
        <v>0</v>
      </c>
      <c r="H6" s="2">
        <v>2</v>
      </c>
      <c r="I6" s="2">
        <v>17</v>
      </c>
      <c r="J6" s="2">
        <v>0</v>
      </c>
      <c r="K6" s="2">
        <v>3</v>
      </c>
      <c r="L6" s="2">
        <v>0</v>
      </c>
      <c r="M6" s="2">
        <v>7</v>
      </c>
      <c r="N6" s="2">
        <v>2690000</v>
      </c>
      <c r="O6" s="2">
        <v>3</v>
      </c>
      <c r="P6" s="13">
        <f>H6+I6</f>
        <v>19</v>
      </c>
      <c r="Q6" s="14">
        <f>P6/(C6+D6+E6+F6+G6)</f>
        <v>3.8</v>
      </c>
      <c r="R6" s="14">
        <f>L6/(C6+D6+E6+F6+G6)</f>
        <v>0</v>
      </c>
      <c r="S6" s="14">
        <f>M6/(C6+D6+E6+F6+G6)</f>
        <v>1.4</v>
      </c>
      <c r="T6" s="15">
        <f>IF(D6&gt;2,0,IF(D6=2,5,IF(D6=1,10,IF(D6&lt;1,15))))</f>
        <v>15</v>
      </c>
      <c r="U6" s="15">
        <f>IF(E6&gt;=2,0,IF(E6=1,5,IF(E6=0,10)))</f>
        <v>10</v>
      </c>
      <c r="V6" s="15">
        <f>IF(Q6&lt;0.5,0,IF(Q6&lt;0.75,5,IF(Q6&lt;1,10,IF(Q6&lt;1.2,15,IF(Q6&gt;=1.2,20)))))</f>
        <v>20</v>
      </c>
      <c r="W6" s="15">
        <f>IF(N6&lt;25000000,0,IF(N6&lt;50000000,5,IF(N6&lt;100000000,10,IF(N6&gt;=100000000,15))))</f>
        <v>0</v>
      </c>
      <c r="X6" s="15">
        <f>IF(R6&lt;0.1,0,IF(R6&lt;0.2,5,IF(R6&lt;0.4,10,IF(R6&lt;0.6,15,IF(R6&gt;=0.6,20)))))</f>
        <v>0</v>
      </c>
      <c r="Y6" s="15">
        <f>IF(S6&lt;1,0,IF(S6&lt;2,5,IF(S6&gt;=2,10)))</f>
        <v>5</v>
      </c>
      <c r="Z6" s="15">
        <f>IF(O6&lt;10,0,IF(O6&lt;20,5,IF(O6&gt;=20,10)))</f>
        <v>0</v>
      </c>
      <c r="AA6" s="16">
        <f>SUM(T6:Z6)</f>
        <v>50</v>
      </c>
      <c r="AB6" s="16" t="str">
        <f>IF(AA6&lt;30,"Grey",IF(AA6&lt;50,"Red",IF(AA6&lt;70,"Amber",IF(AA6&gt;=70,"Green"))))</f>
        <v>Amber</v>
      </c>
    </row>
    <row r="7" spans="1:28" ht="17.25" thickBot="1" x14ac:dyDescent="0.35">
      <c r="A7" t="s">
        <v>66</v>
      </c>
      <c r="C7" s="1">
        <v>5</v>
      </c>
      <c r="D7" s="1">
        <v>0</v>
      </c>
      <c r="E7" s="1">
        <v>0</v>
      </c>
      <c r="F7" s="1">
        <v>0</v>
      </c>
      <c r="G7" s="1">
        <v>0</v>
      </c>
      <c r="H7" s="1">
        <v>3</v>
      </c>
      <c r="I7" s="1">
        <v>7</v>
      </c>
      <c r="J7" s="1">
        <v>2</v>
      </c>
      <c r="K7" s="1">
        <v>4</v>
      </c>
      <c r="L7" s="1">
        <v>0</v>
      </c>
      <c r="M7" s="1">
        <v>12</v>
      </c>
      <c r="N7" s="1">
        <v>109366000</v>
      </c>
      <c r="O7" s="1">
        <v>10</v>
      </c>
      <c r="P7" s="13">
        <f>H7+I7</f>
        <v>10</v>
      </c>
      <c r="Q7" s="14">
        <f>P7/(C7+D7+E7+F7+G7)</f>
        <v>2</v>
      </c>
      <c r="R7" s="14">
        <f>L7/(C7+D7+E7+F7+G7)</f>
        <v>0</v>
      </c>
      <c r="S7" s="14">
        <f>M7/(C7+D7+E7+F7+G7)</f>
        <v>2.4</v>
      </c>
      <c r="T7" s="15">
        <f>IF(D7&gt;2,0,IF(D7=2,5,IF(D7=1,10,IF(D7&lt;1,15))))</f>
        <v>15</v>
      </c>
      <c r="U7" s="15">
        <f>IF(E7&gt;=2,0,IF(E7=1,5,IF(E7=0,10)))</f>
        <v>10</v>
      </c>
      <c r="V7" s="15">
        <f>IF(Q7&lt;0.5,0,IF(Q7&lt;0.75,5,IF(Q7&lt;1,10,IF(Q7&lt;1.2,15,IF(Q7&gt;=1.2,20)))))</f>
        <v>20</v>
      </c>
      <c r="W7" s="15">
        <f>IF(N7&lt;25000000,0,IF(N7&lt;50000000,5,IF(N7&lt;100000000,10,IF(N7&gt;=100000000,15))))</f>
        <v>15</v>
      </c>
      <c r="X7" s="15">
        <f>IF(R7&lt;0.1,0,IF(R7&lt;0.2,5,IF(R7&lt;0.4,10,IF(R7&lt;0.6,15,IF(R7&gt;=0.6,20)))))</f>
        <v>0</v>
      </c>
      <c r="Y7" s="15">
        <f>IF(S7&lt;1,0,IF(S7&lt;2,5,IF(S7&gt;=2,10)))</f>
        <v>10</v>
      </c>
      <c r="Z7" s="15">
        <f>IF(O7&lt;10,0,IF(O7&lt;20,5,IF(O7&gt;=20,10)))</f>
        <v>5</v>
      </c>
      <c r="AA7" s="16">
        <f>SUM(T7:Z7)</f>
        <v>75</v>
      </c>
      <c r="AB7" s="16" t="str">
        <f>IF(AA7&lt;30,"Grey",IF(AA7&lt;50,"Red",IF(AA7&lt;70,"Amber",IF(AA7&gt;=70,"Green"))))</f>
        <v>Green</v>
      </c>
    </row>
    <row r="8" spans="1:28" ht="17.25" thickBot="1" x14ac:dyDescent="0.35">
      <c r="A8" t="s">
        <v>9</v>
      </c>
      <c r="C8" s="1">
        <v>5</v>
      </c>
      <c r="D8" s="1">
        <v>0</v>
      </c>
      <c r="E8" s="1">
        <v>0</v>
      </c>
      <c r="F8" s="1">
        <v>0</v>
      </c>
      <c r="G8" s="1">
        <v>0</v>
      </c>
      <c r="H8" s="1">
        <v>3</v>
      </c>
      <c r="I8" s="1">
        <v>3</v>
      </c>
      <c r="J8" s="1">
        <v>7</v>
      </c>
      <c r="K8" s="1">
        <v>9</v>
      </c>
      <c r="L8" s="1">
        <v>1</v>
      </c>
      <c r="M8" s="1">
        <v>4</v>
      </c>
      <c r="N8" s="1">
        <v>220000</v>
      </c>
      <c r="O8" s="1">
        <v>6</v>
      </c>
      <c r="P8" s="13">
        <f>H8+I8</f>
        <v>6</v>
      </c>
      <c r="Q8" s="14">
        <f>P8/(C8+D8+E8+F8+G8)</f>
        <v>1.2</v>
      </c>
      <c r="R8" s="14">
        <f>L8/(C8+D8+E8+F8+G8)</f>
        <v>0.2</v>
      </c>
      <c r="S8" s="14">
        <f>M8/(C8+D8+E8+F8+G8)</f>
        <v>0.8</v>
      </c>
      <c r="T8" s="15">
        <f>IF(D8&gt;2,0,IF(D8=2,5,IF(D8=1,10,IF(D8&lt;1,15))))</f>
        <v>15</v>
      </c>
      <c r="U8" s="15">
        <f>IF(E8&gt;=2,0,IF(E8=1,5,IF(E8=0,10)))</f>
        <v>10</v>
      </c>
      <c r="V8" s="15">
        <f>IF(Q8&lt;0.5,0,IF(Q8&lt;0.75,5,IF(Q8&lt;1,10,IF(Q8&lt;1.2,15,IF(Q8&gt;=1.2,20)))))</f>
        <v>20</v>
      </c>
      <c r="W8" s="15">
        <f>IF(N8&lt;25000000,0,IF(N8&lt;50000000,5,IF(N8&lt;100000000,10,IF(N8&gt;=100000000,15))))</f>
        <v>0</v>
      </c>
      <c r="X8" s="15">
        <f>IF(R8&lt;0.1,0,IF(R8&lt;0.2,5,IF(R8&lt;0.4,10,IF(R8&lt;0.6,15,IF(R8&gt;=0.6,20)))))</f>
        <v>10</v>
      </c>
      <c r="Y8" s="15">
        <f>IF(S8&lt;1,0,IF(S8&lt;2,5,IF(S8&gt;=2,10)))</f>
        <v>0</v>
      </c>
      <c r="Z8" s="15">
        <f>IF(O8&lt;10,0,IF(O8&lt;20,5,IF(O8&gt;=20,10)))</f>
        <v>0</v>
      </c>
      <c r="AA8" s="16">
        <f>SUM(T8:Z8)</f>
        <v>55</v>
      </c>
      <c r="AB8" s="16" t="str">
        <f>IF(AA8&lt;30,"Grey",IF(AA8&lt;50,"Red",IF(AA8&lt;70,"Amber",IF(AA8&gt;=70,"Green"))))</f>
        <v>Amber</v>
      </c>
    </row>
    <row r="9" spans="1:28" ht="17.25" thickBot="1" x14ac:dyDescent="0.35">
      <c r="A9" t="s">
        <v>72</v>
      </c>
      <c r="C9" s="2">
        <v>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13">
        <f>H9+I9</f>
        <v>0</v>
      </c>
      <c r="Q9" s="14">
        <f>P9/(C9+D9+E9+F9+G9)</f>
        <v>0</v>
      </c>
      <c r="R9" s="14">
        <f>L9/(C9+D9+E9+F9+G9)</f>
        <v>0</v>
      </c>
      <c r="S9" s="14">
        <f>M9/(C9+D9+E9+F9+G9)</f>
        <v>0</v>
      </c>
      <c r="T9" s="15">
        <f>IF(D9&gt;2,0,IF(D9=2,5,IF(D9=1,10,IF(D9&lt;1,15))))</f>
        <v>15</v>
      </c>
      <c r="U9" s="15">
        <f>IF(E9&gt;=2,0,IF(E9=1,5,IF(E9=0,10)))</f>
        <v>10</v>
      </c>
      <c r="V9" s="15">
        <f>IF(Q9&lt;0.5,0,IF(Q9&lt;0.75,5,IF(Q9&lt;1,10,IF(Q9&lt;1.2,15,IF(Q9&gt;=1.2,20)))))</f>
        <v>0</v>
      </c>
      <c r="W9" s="15">
        <f>IF(N9&lt;25000000,0,IF(N9&lt;50000000,5,IF(N9&lt;100000000,10,IF(N9&gt;=100000000,15))))</f>
        <v>0</v>
      </c>
      <c r="X9" s="15">
        <f>IF(R9&lt;0.1,0,IF(R9&lt;0.2,5,IF(R9&lt;0.4,10,IF(R9&lt;0.6,15,IF(R9&gt;=0.6,20)))))</f>
        <v>0</v>
      </c>
      <c r="Y9" s="15">
        <f>IF(S9&lt;1,0,IF(S9&lt;2,5,IF(S9&gt;=2,10)))</f>
        <v>0</v>
      </c>
      <c r="Z9" s="15">
        <f>IF(O9&lt;10,0,IF(O9&lt;20,5,IF(O9&gt;=20,10)))</f>
        <v>0</v>
      </c>
      <c r="AA9" s="16">
        <f>SUM(T9:Z9)</f>
        <v>25</v>
      </c>
      <c r="AB9" s="16" t="str">
        <f>IF(AA9&lt;30,"Grey",IF(AA9&lt;50,"Red",IF(AA9&lt;70,"Amber",IF(AA9&gt;=70,"Green"))))</f>
        <v>Grey</v>
      </c>
    </row>
    <row r="10" spans="1:28" ht="17.25" thickBot="1" x14ac:dyDescent="0.35">
      <c r="A10" t="s">
        <v>13</v>
      </c>
      <c r="C10" s="1">
        <v>3</v>
      </c>
      <c r="D10" s="1">
        <v>1</v>
      </c>
      <c r="E10" s="1">
        <v>0</v>
      </c>
      <c r="F10" s="1">
        <v>0</v>
      </c>
      <c r="G10" s="1">
        <v>1</v>
      </c>
      <c r="H10" s="1">
        <v>4</v>
      </c>
      <c r="I10" s="1">
        <v>7</v>
      </c>
      <c r="J10" s="1">
        <v>13</v>
      </c>
      <c r="K10" s="1">
        <v>6</v>
      </c>
      <c r="L10" s="1">
        <v>0</v>
      </c>
      <c r="M10" s="1">
        <v>1</v>
      </c>
      <c r="N10" s="1">
        <v>4520000</v>
      </c>
      <c r="O10" s="1">
        <v>0</v>
      </c>
      <c r="P10" s="13">
        <f>H10+I10</f>
        <v>11</v>
      </c>
      <c r="Q10" s="14">
        <f>P10/(C10+D10+E10+F10+G10)</f>
        <v>2.2000000000000002</v>
      </c>
      <c r="R10" s="14">
        <f>L10/(C10+D10+E10+F10+G10)</f>
        <v>0</v>
      </c>
      <c r="S10" s="14">
        <f>M10/(C10+D10+E10+F10+G10)</f>
        <v>0.2</v>
      </c>
      <c r="T10" s="15">
        <f>IF(D10&gt;2,0,IF(D10=2,5,IF(D10=1,10,IF(D10&lt;1,15))))</f>
        <v>10</v>
      </c>
      <c r="U10" s="15">
        <f>IF(E10&gt;=2,0,IF(E10=1,5,IF(E10=0,10)))</f>
        <v>10</v>
      </c>
      <c r="V10" s="15">
        <f>IF(Q10&lt;0.5,0,IF(Q10&lt;0.75,5,IF(Q10&lt;1,10,IF(Q10&lt;1.2,15,IF(Q10&gt;=1.2,20)))))</f>
        <v>20</v>
      </c>
      <c r="W10" s="15">
        <f>IF(N10&lt;25000000,0,IF(N10&lt;50000000,5,IF(N10&lt;100000000,10,IF(N10&gt;=100000000,15))))</f>
        <v>0</v>
      </c>
      <c r="X10" s="15">
        <f>IF(R10&lt;0.1,0,IF(R10&lt;0.2,5,IF(R10&lt;0.4,10,IF(R10&lt;0.6,15,IF(R10&gt;=0.6,20)))))</f>
        <v>0</v>
      </c>
      <c r="Y10" s="15">
        <f>IF(S10&lt;1,0,IF(S10&lt;2,5,IF(S10&gt;=2,10)))</f>
        <v>0</v>
      </c>
      <c r="Z10" s="15">
        <f>IF(O10&lt;10,0,IF(O10&lt;20,5,IF(O10&gt;=20,10)))</f>
        <v>0</v>
      </c>
      <c r="AA10" s="16">
        <f>SUM(T10:Z10)</f>
        <v>40</v>
      </c>
      <c r="AB10" s="16" t="str">
        <f>IF(AA10&lt;30,"Grey",IF(AA10&lt;50,"Red",IF(AA10&lt;70,"Amber",IF(AA10&gt;=70,"Green"))))</f>
        <v>Red</v>
      </c>
    </row>
    <row r="11" spans="1:28" ht="17.25" thickBot="1" x14ac:dyDescent="0.35">
      <c r="A11" t="s">
        <v>65</v>
      </c>
      <c r="C11" s="2">
        <v>5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4</v>
      </c>
      <c r="J11" s="2">
        <v>1</v>
      </c>
      <c r="K11" s="2">
        <v>5</v>
      </c>
      <c r="L11" s="2">
        <v>0</v>
      </c>
      <c r="M11" s="2">
        <v>2</v>
      </c>
      <c r="N11" s="2">
        <v>520000</v>
      </c>
      <c r="O11" s="2">
        <v>5</v>
      </c>
      <c r="P11" s="13">
        <f>H11+I11</f>
        <v>6</v>
      </c>
      <c r="Q11" s="14">
        <f>P11/(C11+D11+E11+F11+G11)</f>
        <v>1.2</v>
      </c>
      <c r="R11" s="14">
        <f>L11/(C11+D11+E11+F11+G11)</f>
        <v>0</v>
      </c>
      <c r="S11" s="14">
        <f>M11/(C11+D11+E11+F11+G11)</f>
        <v>0.4</v>
      </c>
      <c r="T11" s="15">
        <f>IF(D11&gt;2,0,IF(D11=2,5,IF(D11=1,10,IF(D11&lt;1,15))))</f>
        <v>15</v>
      </c>
      <c r="U11" s="15">
        <f>IF(E11&gt;=2,0,IF(E11=1,5,IF(E11=0,10)))</f>
        <v>10</v>
      </c>
      <c r="V11" s="15">
        <f>IF(Q11&lt;0.5,0,IF(Q11&lt;0.75,5,IF(Q11&lt;1,10,IF(Q11&lt;1.2,15,IF(Q11&gt;=1.2,20)))))</f>
        <v>20</v>
      </c>
      <c r="W11" s="15">
        <f>IF(N11&lt;25000000,0,IF(N11&lt;50000000,5,IF(N11&lt;100000000,10,IF(N11&gt;=100000000,15))))</f>
        <v>0</v>
      </c>
      <c r="X11" s="15">
        <f>IF(R11&lt;0.1,0,IF(R11&lt;0.2,5,IF(R11&lt;0.4,10,IF(R11&lt;0.6,15,IF(R11&gt;=0.6,20)))))</f>
        <v>0</v>
      </c>
      <c r="Y11" s="15">
        <f>IF(S11&lt;1,0,IF(S11&lt;2,5,IF(S11&gt;=2,10)))</f>
        <v>0</v>
      </c>
      <c r="Z11" s="15">
        <f>IF(O11&lt;10,0,IF(O11&lt;20,5,IF(O11&gt;=20,10)))</f>
        <v>0</v>
      </c>
      <c r="AA11" s="16">
        <f>SUM(T11:Z11)</f>
        <v>45</v>
      </c>
      <c r="AB11" s="16" t="str">
        <f>IF(AA11&lt;30,"Grey",IF(AA11&lt;50,"Red",IF(AA11&lt;70,"Amber",IF(AA11&gt;=70,"Green"))))</f>
        <v>Red</v>
      </c>
    </row>
    <row r="12" spans="1:28" ht="17.25" thickBot="1" x14ac:dyDescent="0.35">
      <c r="A12" t="s">
        <v>12</v>
      </c>
      <c r="C12" s="2">
        <v>5</v>
      </c>
      <c r="D12" s="2">
        <v>0</v>
      </c>
      <c r="E12" s="2">
        <v>0</v>
      </c>
      <c r="F12" s="2">
        <v>0</v>
      </c>
      <c r="G12" s="2">
        <v>0</v>
      </c>
      <c r="H12" s="2">
        <v>2</v>
      </c>
      <c r="I12" s="2">
        <v>0</v>
      </c>
      <c r="J12" s="2">
        <v>0</v>
      </c>
      <c r="K12" s="2">
        <v>1</v>
      </c>
      <c r="L12" s="2">
        <v>0</v>
      </c>
      <c r="M12" s="2">
        <v>5</v>
      </c>
      <c r="N12" s="2">
        <v>40000</v>
      </c>
      <c r="O12" s="2">
        <v>5</v>
      </c>
      <c r="P12" s="13">
        <f>H12+I12</f>
        <v>2</v>
      </c>
      <c r="Q12" s="14">
        <f>P12/(C12+D12+E12+F12+G12)</f>
        <v>0.4</v>
      </c>
      <c r="R12" s="14">
        <f>L12/(C12+D12+E12+F12+G12)</f>
        <v>0</v>
      </c>
      <c r="S12" s="14">
        <f>M12/(C12+D12+E12+F12+G12)</f>
        <v>1</v>
      </c>
      <c r="T12" s="15">
        <f>IF(D12&gt;2,0,IF(D12=2,5,IF(D12=1,10,IF(D12&lt;1,15))))</f>
        <v>15</v>
      </c>
      <c r="U12" s="15">
        <f>IF(E12&gt;=2,0,IF(E12=1,5,IF(E12=0,10)))</f>
        <v>10</v>
      </c>
      <c r="V12" s="15">
        <f>IF(Q12&lt;0.5,0,IF(Q12&lt;0.75,5,IF(Q12&lt;1,10,IF(Q12&lt;1.2,15,IF(Q12&gt;=1.2,20)))))</f>
        <v>0</v>
      </c>
      <c r="W12" s="15">
        <f>IF(N12&lt;25000000,0,IF(N12&lt;50000000,5,IF(N12&lt;100000000,10,IF(N12&gt;=100000000,15))))</f>
        <v>0</v>
      </c>
      <c r="X12" s="15">
        <f>IF(R12&lt;0.1,0,IF(R12&lt;0.2,5,IF(R12&lt;0.4,10,IF(R12&lt;0.6,15,IF(R12&gt;=0.6,20)))))</f>
        <v>0</v>
      </c>
      <c r="Y12" s="15">
        <f>IF(S12&lt;1,0,IF(S12&lt;2,5,IF(S12&gt;=2,10)))</f>
        <v>5</v>
      </c>
      <c r="Z12" s="15">
        <f>IF(O12&lt;10,0,IF(O12&lt;20,5,IF(O12&gt;=20,10)))</f>
        <v>0</v>
      </c>
      <c r="AA12" s="16">
        <f>SUM(T12:Z12)</f>
        <v>30</v>
      </c>
      <c r="AB12" s="16" t="str">
        <f>IF(AA12&lt;30,"Grey",IF(AA12&lt;50,"Red",IF(AA12&lt;70,"Amber",IF(AA12&gt;=70,"Green"))))</f>
        <v>Red</v>
      </c>
    </row>
    <row r="13" spans="1:28" ht="17.25" thickBot="1" x14ac:dyDescent="0.35">
      <c r="A13" t="s">
        <v>71</v>
      </c>
      <c r="C13" s="1">
        <v>3</v>
      </c>
      <c r="D13" s="1">
        <v>1</v>
      </c>
      <c r="E13" s="1">
        <v>0</v>
      </c>
      <c r="F13" s="1">
        <v>0</v>
      </c>
      <c r="G13" s="1">
        <v>0</v>
      </c>
      <c r="H13" s="1">
        <v>1</v>
      </c>
      <c r="I13" s="1">
        <v>1</v>
      </c>
      <c r="J13" s="1">
        <v>2</v>
      </c>
      <c r="K13" s="1">
        <v>0</v>
      </c>
      <c r="L13" s="1">
        <v>0</v>
      </c>
      <c r="M13" s="1">
        <v>10</v>
      </c>
      <c r="N13" s="1">
        <v>500000</v>
      </c>
      <c r="O13" s="1">
        <v>0</v>
      </c>
      <c r="P13" s="13">
        <f>H13+I13</f>
        <v>2</v>
      </c>
      <c r="Q13" s="14">
        <f>P13/(C13+D13+E13+F13+G13)</f>
        <v>0.5</v>
      </c>
      <c r="R13" s="14">
        <f>L13/(C13+D13+E13+F13+G13)</f>
        <v>0</v>
      </c>
      <c r="S13" s="14">
        <f>M13/(C13+D13+E13+F13+G13)</f>
        <v>2.5</v>
      </c>
      <c r="T13" s="15">
        <f>IF(D13&gt;2,0,IF(D13=2,5,IF(D13=1,10,IF(D13&lt;1,15))))</f>
        <v>10</v>
      </c>
      <c r="U13" s="15">
        <f>IF(E13&gt;=2,0,IF(E13=1,5,IF(E13=0,10)))</f>
        <v>10</v>
      </c>
      <c r="V13" s="15">
        <f>IF(Q13&lt;0.5,0,IF(Q13&lt;0.75,5,IF(Q13&lt;1,10,IF(Q13&lt;1.2,15,IF(Q13&gt;=1.2,20)))))</f>
        <v>5</v>
      </c>
      <c r="W13" s="15">
        <f>IF(N13&lt;25000000,0,IF(N13&lt;50000000,5,IF(N13&lt;100000000,10,IF(N13&gt;=100000000,15))))</f>
        <v>0</v>
      </c>
      <c r="X13" s="15">
        <f>IF(R13&lt;0.1,0,IF(R13&lt;0.2,5,IF(R13&lt;0.4,10,IF(R13&lt;0.6,15,IF(R13&gt;=0.6,20)))))</f>
        <v>0</v>
      </c>
      <c r="Y13" s="15">
        <f>IF(S13&lt;1,0,IF(S13&lt;2,5,IF(S13&gt;=2,10)))</f>
        <v>10</v>
      </c>
      <c r="Z13" s="15">
        <f>IF(O13&lt;10,0,IF(O13&lt;20,5,IF(O13&gt;=20,10)))</f>
        <v>0</v>
      </c>
      <c r="AA13" s="16">
        <f>SUM(T13:Z13)</f>
        <v>35</v>
      </c>
      <c r="AB13" s="16" t="str">
        <f>IF(AA13&lt;30,"Grey",IF(AA13&lt;50,"Red",IF(AA13&lt;70,"Amber",IF(AA13&gt;=70,"Green"))))</f>
        <v>Red</v>
      </c>
    </row>
    <row r="14" spans="1:28" ht="17.25" thickBot="1" x14ac:dyDescent="0.35">
      <c r="A14" t="s">
        <v>11</v>
      </c>
      <c r="C14" s="2">
        <v>4</v>
      </c>
      <c r="D14" s="2">
        <v>0</v>
      </c>
      <c r="E14" s="2">
        <v>0</v>
      </c>
      <c r="F14" s="2">
        <v>1</v>
      </c>
      <c r="G14" s="2">
        <v>0</v>
      </c>
      <c r="H14" s="2">
        <v>2</v>
      </c>
      <c r="I14" s="2">
        <v>2</v>
      </c>
      <c r="J14" s="2">
        <v>0</v>
      </c>
      <c r="K14" s="2">
        <v>3</v>
      </c>
      <c r="L14" s="2">
        <v>0</v>
      </c>
      <c r="M14" s="2">
        <v>8</v>
      </c>
      <c r="N14" s="2">
        <v>2743800</v>
      </c>
      <c r="O14" s="2">
        <v>1</v>
      </c>
      <c r="P14" s="13">
        <f>H14+I14</f>
        <v>4</v>
      </c>
      <c r="Q14" s="14">
        <f>P14/(C14+D14+E14+F14+G14)</f>
        <v>0.8</v>
      </c>
      <c r="R14" s="14">
        <f>L14/(C14+D14+E14+F14+G14)</f>
        <v>0</v>
      </c>
      <c r="S14" s="14">
        <f>M14/(C14+D14+E14+F14+G14)</f>
        <v>1.6</v>
      </c>
      <c r="T14" s="15">
        <f>IF(D14&gt;2,0,IF(D14=2,5,IF(D14=1,10,IF(D14&lt;1,15))))</f>
        <v>15</v>
      </c>
      <c r="U14" s="15">
        <f>IF(E14&gt;=2,0,IF(E14=1,5,IF(E14=0,10)))</f>
        <v>10</v>
      </c>
      <c r="V14" s="15">
        <f>IF(Q14&lt;0.5,0,IF(Q14&lt;0.75,5,IF(Q14&lt;1,10,IF(Q14&lt;1.2,15,IF(Q14&gt;=1.2,20)))))</f>
        <v>10</v>
      </c>
      <c r="W14" s="15">
        <f>IF(N14&lt;25000000,0,IF(N14&lt;50000000,5,IF(N14&lt;100000000,10,IF(N14&gt;=100000000,15))))</f>
        <v>0</v>
      </c>
      <c r="X14" s="15">
        <f>IF(R14&lt;0.1,0,IF(R14&lt;0.2,5,IF(R14&lt;0.4,10,IF(R14&lt;0.6,15,IF(R14&gt;=0.6,20)))))</f>
        <v>0</v>
      </c>
      <c r="Y14" s="15">
        <f>IF(S14&lt;1,0,IF(S14&lt;2,5,IF(S14&gt;=2,10)))</f>
        <v>5</v>
      </c>
      <c r="Z14" s="15">
        <f>IF(O14&lt;10,0,IF(O14&lt;20,5,IF(O14&gt;=20,10)))</f>
        <v>0</v>
      </c>
      <c r="AA14" s="16">
        <f>SUM(T14:Z14)</f>
        <v>40</v>
      </c>
      <c r="AB14" s="16" t="str">
        <f>IF(AA14&lt;30,"Grey",IF(AA14&lt;50,"Red",IF(AA14&lt;70,"Amber",IF(AA14&gt;=70,"Green"))))</f>
        <v>Red</v>
      </c>
    </row>
    <row r="15" spans="1:28" ht="17.25" thickBot="1" x14ac:dyDescent="0.35">
      <c r="A15" t="s">
        <v>63</v>
      </c>
      <c r="C15" s="1">
        <v>4</v>
      </c>
      <c r="D15" s="1">
        <v>0</v>
      </c>
      <c r="E15" s="1">
        <v>0</v>
      </c>
      <c r="F15" s="1">
        <v>1</v>
      </c>
      <c r="G15" s="1">
        <v>0</v>
      </c>
      <c r="H15" s="1">
        <v>3</v>
      </c>
      <c r="I15" s="1">
        <v>17</v>
      </c>
      <c r="J15" s="1">
        <v>1</v>
      </c>
      <c r="K15" s="1">
        <v>6</v>
      </c>
      <c r="L15" s="1">
        <v>0</v>
      </c>
      <c r="M15" s="1">
        <v>19</v>
      </c>
      <c r="N15" s="1">
        <v>3776300</v>
      </c>
      <c r="O15" s="1">
        <v>8</v>
      </c>
      <c r="P15" s="13">
        <f>H15+I15</f>
        <v>20</v>
      </c>
      <c r="Q15" s="14">
        <f>P15/(C15+D15+E15+F15+G15)</f>
        <v>4</v>
      </c>
      <c r="R15" s="14">
        <f>L15/(C15+D15+E15+F15+G15)</f>
        <v>0</v>
      </c>
      <c r="S15" s="14">
        <f>M15/(C15+D15+E15+F15+G15)</f>
        <v>3.8</v>
      </c>
      <c r="T15" s="15">
        <f>IF(D15&gt;2,0,IF(D15=2,5,IF(D15=1,10,IF(D15&lt;1,15))))</f>
        <v>15</v>
      </c>
      <c r="U15" s="15">
        <f>IF(E15&gt;=2,0,IF(E15=1,5,IF(E15=0,10)))</f>
        <v>10</v>
      </c>
      <c r="V15" s="15">
        <f>IF(Q15&lt;0.5,0,IF(Q15&lt;0.75,5,IF(Q15&lt;1,10,IF(Q15&lt;1.2,15,IF(Q15&gt;=1.2,20)))))</f>
        <v>20</v>
      </c>
      <c r="W15" s="15">
        <f>IF(N15&lt;25000000,0,IF(N15&lt;50000000,5,IF(N15&lt;100000000,10,IF(N15&gt;=100000000,15))))</f>
        <v>0</v>
      </c>
      <c r="X15" s="15">
        <f>IF(R15&lt;0.1,0,IF(R15&lt;0.2,5,IF(R15&lt;0.4,10,IF(R15&lt;0.6,15,IF(R15&gt;=0.6,20)))))</f>
        <v>0</v>
      </c>
      <c r="Y15" s="15">
        <f>IF(S15&lt;1,0,IF(S15&lt;2,5,IF(S15&gt;=2,10)))</f>
        <v>10</v>
      </c>
      <c r="Z15" s="15">
        <f>IF(O15&lt;10,0,IF(O15&lt;20,5,IF(O15&gt;=20,10)))</f>
        <v>0</v>
      </c>
      <c r="AA15" s="16">
        <f>SUM(T15:Z15)</f>
        <v>55</v>
      </c>
      <c r="AB15" s="16" t="str">
        <f>IF(AA15&lt;30,"Grey",IF(AA15&lt;50,"Red",IF(AA15&lt;70,"Amber",IF(AA15&gt;=70,"Green"))))</f>
        <v>Amber</v>
      </c>
    </row>
    <row r="16" spans="1:28" ht="17.25" thickBot="1" x14ac:dyDescent="0.35">
      <c r="A16" t="s">
        <v>10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>
        <v>2</v>
      </c>
      <c r="I16" s="1">
        <v>2</v>
      </c>
      <c r="J16" s="1">
        <v>0</v>
      </c>
      <c r="K16" s="1">
        <v>2</v>
      </c>
      <c r="L16" s="1">
        <v>0</v>
      </c>
      <c r="M16" s="1">
        <v>12</v>
      </c>
      <c r="N16" s="1">
        <v>338300</v>
      </c>
      <c r="O16" s="1">
        <v>0</v>
      </c>
      <c r="P16" s="13">
        <f>H16+I16</f>
        <v>4</v>
      </c>
      <c r="Q16" s="14">
        <f>P16/(C16+D16+E16+F16+G16)</f>
        <v>0.8</v>
      </c>
      <c r="R16" s="14">
        <f>L16/(C16+D16+E16+F16+G16)</f>
        <v>0</v>
      </c>
      <c r="S16" s="14">
        <f>M16/(C16+D16+E16+F16+G16)</f>
        <v>2.4</v>
      </c>
      <c r="T16" s="15">
        <f>IF(D16&gt;2,0,IF(D16=2,5,IF(D16=1,10,IF(D16&lt;1,15))))</f>
        <v>15</v>
      </c>
      <c r="U16" s="15">
        <f>IF(E16&gt;=2,0,IF(E16=1,5,IF(E16=0,10)))</f>
        <v>10</v>
      </c>
      <c r="V16" s="15">
        <f>IF(Q16&lt;0.5,0,IF(Q16&lt;0.75,5,IF(Q16&lt;1,10,IF(Q16&lt;1.2,15,IF(Q16&gt;=1.2,20)))))</f>
        <v>10</v>
      </c>
      <c r="W16" s="15">
        <f>IF(N16&lt;25000000,0,IF(N16&lt;50000000,5,IF(N16&lt;100000000,10,IF(N16&gt;=100000000,15))))</f>
        <v>0</v>
      </c>
      <c r="X16" s="15">
        <f>IF(R16&lt;0.1,0,IF(R16&lt;0.2,5,IF(R16&lt;0.4,10,IF(R16&lt;0.6,15,IF(R16&gt;=0.6,20)))))</f>
        <v>0</v>
      </c>
      <c r="Y16" s="15">
        <f>IF(S16&lt;1,0,IF(S16&lt;2,5,IF(S16&gt;=2,10)))</f>
        <v>10</v>
      </c>
      <c r="Z16" s="15">
        <f>IF(O16&lt;10,0,IF(O16&lt;20,5,IF(O16&gt;=20,10)))</f>
        <v>0</v>
      </c>
      <c r="AA16" s="16">
        <f>SUM(T16:Z16)</f>
        <v>45</v>
      </c>
      <c r="AB16" s="16" t="str">
        <f>IF(AA16&lt;30,"Grey",IF(AA16&lt;50,"Red",IF(AA16&lt;70,"Amber",IF(AA16&gt;=70,"Green"))))</f>
        <v>Red</v>
      </c>
    </row>
    <row r="17" spans="1:28" ht="17.25" thickBot="1" x14ac:dyDescent="0.35">
      <c r="A17" t="s">
        <v>14</v>
      </c>
      <c r="C17" s="2">
        <v>5</v>
      </c>
      <c r="D17" s="2">
        <v>0</v>
      </c>
      <c r="E17" s="2">
        <v>0</v>
      </c>
      <c r="F17" s="2">
        <v>0</v>
      </c>
      <c r="G17" s="2">
        <v>0</v>
      </c>
      <c r="H17" s="2">
        <v>5</v>
      </c>
      <c r="I17" s="2">
        <v>2</v>
      </c>
      <c r="J17" s="2">
        <v>4</v>
      </c>
      <c r="K17" s="2">
        <v>10</v>
      </c>
      <c r="L17" s="2">
        <v>1</v>
      </c>
      <c r="M17" s="2">
        <v>18</v>
      </c>
      <c r="N17" s="2">
        <v>310000</v>
      </c>
      <c r="O17" s="2">
        <v>14</v>
      </c>
      <c r="P17" s="13">
        <f>H17+I17</f>
        <v>7</v>
      </c>
      <c r="Q17" s="14">
        <f>P17/(C17+D17+E17+F17+G17)</f>
        <v>1.4</v>
      </c>
      <c r="R17" s="14">
        <f>L17/(C17+D17+E17+F17+G17)</f>
        <v>0.2</v>
      </c>
      <c r="S17" s="14">
        <f>M17/(C17+D17+E17+F17+G17)</f>
        <v>3.6</v>
      </c>
      <c r="T17" s="15">
        <f>IF(D17&gt;2,0,IF(D17=2,5,IF(D17=1,10,IF(D17&lt;1,15))))</f>
        <v>15</v>
      </c>
      <c r="U17" s="15">
        <f>IF(E17&gt;=2,0,IF(E17=1,5,IF(E17=0,10)))</f>
        <v>10</v>
      </c>
      <c r="V17" s="15">
        <f>IF(Q17&lt;0.5,0,IF(Q17&lt;0.75,5,IF(Q17&lt;1,10,IF(Q17&lt;1.2,15,IF(Q17&gt;=1.2,20)))))</f>
        <v>20</v>
      </c>
      <c r="W17" s="15">
        <f>IF(N17&lt;25000000,0,IF(N17&lt;50000000,5,IF(N17&lt;100000000,10,IF(N17&gt;=100000000,15))))</f>
        <v>0</v>
      </c>
      <c r="X17" s="15">
        <f>IF(R17&lt;0.1,0,IF(R17&lt;0.2,5,IF(R17&lt;0.4,10,IF(R17&lt;0.6,15,IF(R17&gt;=0.6,20)))))</f>
        <v>10</v>
      </c>
      <c r="Y17" s="15">
        <f>IF(S17&lt;1,0,IF(S17&lt;2,5,IF(S17&gt;=2,10)))</f>
        <v>10</v>
      </c>
      <c r="Z17" s="15">
        <f>IF(O17&lt;10,0,IF(O17&lt;20,5,IF(O17&gt;=20,10)))</f>
        <v>5</v>
      </c>
      <c r="AA17" s="16">
        <f>SUM(T17:Z17)</f>
        <v>70</v>
      </c>
      <c r="AB17" s="16" t="str">
        <f>IF(AA17&lt;30,"Grey",IF(AA17&lt;50,"Red",IF(AA17&lt;70,"Amber",IF(AA17&gt;=70,"Green"))))</f>
        <v>Green</v>
      </c>
    </row>
    <row r="18" spans="1:28" ht="17.25" thickBot="1" x14ac:dyDescent="0.35">
      <c r="A18" t="s">
        <v>26</v>
      </c>
      <c r="C18" s="1">
        <v>4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2</v>
      </c>
      <c r="L18" s="1">
        <v>0</v>
      </c>
      <c r="M18" s="1">
        <v>4</v>
      </c>
      <c r="N18" s="1">
        <v>1000000</v>
      </c>
      <c r="O18" s="1">
        <v>0</v>
      </c>
      <c r="P18" s="13">
        <f>H18+I18</f>
        <v>1</v>
      </c>
      <c r="Q18" s="14">
        <f>P18/(C18+D18+E18+F18+G18)</f>
        <v>0.2</v>
      </c>
      <c r="R18" s="14">
        <f>L18/(C18+D18+E18+F18+G18)</f>
        <v>0</v>
      </c>
      <c r="S18" s="14">
        <f>M18/(C18+D18+E18+F18+G18)</f>
        <v>0.8</v>
      </c>
      <c r="T18" s="15">
        <f>IF(D18&gt;2,0,IF(D18=2,5,IF(D18=1,10,IF(D18&lt;1,15))))</f>
        <v>10</v>
      </c>
      <c r="U18" s="15">
        <f>IF(E18&gt;=2,0,IF(E18=1,5,IF(E18=0,10)))</f>
        <v>10</v>
      </c>
      <c r="V18" s="15">
        <f>IF(Q18&lt;0.5,0,IF(Q18&lt;0.75,5,IF(Q18&lt;1,10,IF(Q18&lt;1.2,15,IF(Q18&gt;=1.2,20)))))</f>
        <v>0</v>
      </c>
      <c r="W18" s="15">
        <f>IF(N18&lt;25000000,0,IF(N18&lt;50000000,5,IF(N18&lt;100000000,10,IF(N18&gt;=100000000,15))))</f>
        <v>0</v>
      </c>
      <c r="X18" s="15">
        <f>IF(R18&lt;0.1,0,IF(R18&lt;0.2,5,IF(R18&lt;0.4,10,IF(R18&lt;0.6,15,IF(R18&gt;=0.6,20)))))</f>
        <v>0</v>
      </c>
      <c r="Y18" s="15">
        <f>IF(S18&lt;1,0,IF(S18&lt;2,5,IF(S18&gt;=2,10)))</f>
        <v>0</v>
      </c>
      <c r="Z18" s="15">
        <f>IF(O18&lt;10,0,IF(O18&lt;20,5,IF(O18&gt;=20,10)))</f>
        <v>0</v>
      </c>
      <c r="AA18" s="16">
        <f>SUM(T18:Z18)</f>
        <v>20</v>
      </c>
      <c r="AB18" s="16" t="str">
        <f>IF(AA18&lt;30,"Grey",IF(AA18&lt;50,"Red",IF(AA18&lt;70,"Amber",IF(AA18&gt;=70,"Green"))))</f>
        <v>Grey</v>
      </c>
    </row>
    <row r="19" spans="1:28" ht="17.25" thickBot="1" x14ac:dyDescent="0.35">
      <c r="A19" t="s">
        <v>31</v>
      </c>
      <c r="C19" s="3">
        <v>5</v>
      </c>
      <c r="D19" s="3">
        <v>0</v>
      </c>
      <c r="E19" s="3">
        <v>0</v>
      </c>
      <c r="F19" s="3">
        <v>0</v>
      </c>
      <c r="G19" s="3">
        <v>0</v>
      </c>
      <c r="H19" s="3">
        <v>14</v>
      </c>
      <c r="I19" s="3">
        <v>3</v>
      </c>
      <c r="J19" s="3">
        <v>3</v>
      </c>
      <c r="K19" s="3">
        <v>9</v>
      </c>
      <c r="L19" s="3">
        <v>0</v>
      </c>
      <c r="M19" s="3">
        <v>13</v>
      </c>
      <c r="N19" s="3">
        <v>17473000</v>
      </c>
      <c r="O19" s="3">
        <v>6</v>
      </c>
      <c r="P19" s="13">
        <f>H19+I19</f>
        <v>17</v>
      </c>
      <c r="Q19" s="14">
        <f>P19/(C19+D19+E19+F19+G19)</f>
        <v>3.4</v>
      </c>
      <c r="R19" s="14">
        <f>L19/(C19+D19+E19+F19+G19)</f>
        <v>0</v>
      </c>
      <c r="S19" s="14">
        <f>M19/(C19+D19+E19+F19+G19)</f>
        <v>2.6</v>
      </c>
      <c r="T19" s="15">
        <f>IF(D19&gt;2,0,IF(D19=2,5,IF(D19=1,10,IF(D19&lt;1,15))))</f>
        <v>15</v>
      </c>
      <c r="U19" s="15">
        <f>IF(E19&gt;=2,0,IF(E19=1,5,IF(E19=0,10)))</f>
        <v>10</v>
      </c>
      <c r="V19" s="15">
        <f>IF(Q19&lt;0.5,0,IF(Q19&lt;0.75,5,IF(Q19&lt;1,10,IF(Q19&lt;1.2,15,IF(Q19&gt;=1.2,20)))))</f>
        <v>20</v>
      </c>
      <c r="W19" s="15">
        <f>IF(N19&lt;25000000,0,IF(N19&lt;50000000,5,IF(N19&lt;100000000,10,IF(N19&gt;=100000000,15))))</f>
        <v>0</v>
      </c>
      <c r="X19" s="15">
        <f>IF(R19&lt;0.1,0,IF(R19&lt;0.2,5,IF(R19&lt;0.4,10,IF(R19&lt;0.6,15,IF(R19&gt;=0.6,20)))))</f>
        <v>0</v>
      </c>
      <c r="Y19" s="15">
        <f>IF(S19&lt;1,0,IF(S19&lt;2,5,IF(S19&gt;=2,10)))</f>
        <v>10</v>
      </c>
      <c r="Z19" s="15">
        <f>IF(O19&lt;10,0,IF(O19&lt;20,5,IF(O19&gt;=20,10)))</f>
        <v>0</v>
      </c>
      <c r="AA19" s="16">
        <f>SUM(T19:Z19)</f>
        <v>55</v>
      </c>
      <c r="AB19" s="16" t="str">
        <f>IF(AA19&lt;30,"Grey",IF(AA19&lt;50,"Red",IF(AA19&lt;70,"Amber",IF(AA19&gt;=70,"Green"))))</f>
        <v>Amber</v>
      </c>
    </row>
    <row r="20" spans="1:28" ht="17.25" thickBot="1" x14ac:dyDescent="0.35">
      <c r="A20" t="s">
        <v>30</v>
      </c>
      <c r="C20" s="2">
        <v>5</v>
      </c>
      <c r="D20" s="2">
        <v>0</v>
      </c>
      <c r="E20" s="2">
        <v>0</v>
      </c>
      <c r="F20" s="2">
        <v>0</v>
      </c>
      <c r="G20" s="2">
        <v>0</v>
      </c>
      <c r="H20" s="2">
        <v>3</v>
      </c>
      <c r="I20" s="2">
        <v>20</v>
      </c>
      <c r="J20" s="2">
        <v>1</v>
      </c>
      <c r="K20" s="2">
        <v>9</v>
      </c>
      <c r="L20" s="2">
        <v>0</v>
      </c>
      <c r="M20" s="2">
        <v>13</v>
      </c>
      <c r="N20" s="2">
        <v>112530000</v>
      </c>
      <c r="O20" s="2">
        <v>13</v>
      </c>
      <c r="P20" s="26">
        <f>H20+I20</f>
        <v>23</v>
      </c>
      <c r="Q20" s="14">
        <f>P20/(C20+D20+E20+F20+G20)</f>
        <v>4.5999999999999996</v>
      </c>
      <c r="R20" s="14">
        <f>L20/(C20+D20+E20+F20+G20)</f>
        <v>0</v>
      </c>
      <c r="S20" s="14">
        <f>M20/(C20+D20+E20+F20+G20)</f>
        <v>2.6</v>
      </c>
      <c r="T20" s="15">
        <f>IF(D20&gt;2,0,IF(D20=2,5,IF(D20=1,10,IF(D20&lt;1,15))))</f>
        <v>15</v>
      </c>
      <c r="U20" s="15">
        <f>IF(E20&gt;=2,0,IF(E20=1,5,IF(E20=0,10)))</f>
        <v>10</v>
      </c>
      <c r="V20" s="15">
        <f>IF(Q20&lt;0.5,0,IF(Q20&lt;0.75,5,IF(Q20&lt;1,10,IF(Q20&lt;1.2,15,IF(Q20&gt;=1.2,20)))))</f>
        <v>20</v>
      </c>
      <c r="W20" s="15">
        <f>IF(N20&lt;25000000,0,IF(N20&lt;50000000,5,IF(N20&lt;100000000,10,IF(N20&gt;=100000000,15))))</f>
        <v>15</v>
      </c>
      <c r="X20" s="15">
        <f>IF(R20&lt;0.1,0,IF(R20&lt;0.2,5,IF(R20&lt;0.4,10,IF(R20&lt;0.6,15,IF(R20&gt;=0.6,20)))))</f>
        <v>0</v>
      </c>
      <c r="Y20" s="15">
        <f>IF(S20&lt;1,0,IF(S20&lt;2,5,IF(S20&gt;=2,10)))</f>
        <v>10</v>
      </c>
      <c r="Z20" s="15">
        <f>IF(O20&lt;10,0,IF(O20&lt;20,5,IF(O20&gt;=20,10)))</f>
        <v>5</v>
      </c>
      <c r="AA20" s="16">
        <f>SUM(T20:Z20)</f>
        <v>75</v>
      </c>
      <c r="AB20" s="16" t="str">
        <f>IF(AA20&lt;30,"Grey",IF(AA20&lt;50,"Red",IF(AA20&lt;70,"Amber",IF(AA20&gt;=70,"Green"))))</f>
        <v>Green</v>
      </c>
    </row>
    <row r="21" spans="1:28" ht="17.25" thickBot="1" x14ac:dyDescent="0.35">
      <c r="A21" t="s">
        <v>22</v>
      </c>
      <c r="C21" s="2">
        <v>4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6</v>
      </c>
      <c r="J21" s="2">
        <v>0</v>
      </c>
      <c r="K21" s="2">
        <v>0</v>
      </c>
      <c r="L21" s="2">
        <v>0</v>
      </c>
      <c r="M21" s="2">
        <v>7</v>
      </c>
      <c r="N21" s="2">
        <v>300000</v>
      </c>
      <c r="O21" s="2">
        <v>1</v>
      </c>
      <c r="P21" s="13">
        <f>H21+I21</f>
        <v>7</v>
      </c>
      <c r="Q21" s="14">
        <f>P21/(C21+D21+E21+F21+G21)</f>
        <v>1.4</v>
      </c>
      <c r="R21" s="14">
        <f>L21/(C21+D21+E21+F21+G21)</f>
        <v>0</v>
      </c>
      <c r="S21" s="14">
        <f>M21/(C21+D21+E21+F21+G21)</f>
        <v>1.4</v>
      </c>
      <c r="T21" s="15">
        <f>IF(D21&gt;2,0,IF(D21=2,5,IF(D21=1,10,IF(D21&lt;1,15))))</f>
        <v>10</v>
      </c>
      <c r="U21" s="15">
        <f>IF(E21&gt;=2,0,IF(E21=1,5,IF(E21=0,10)))</f>
        <v>10</v>
      </c>
      <c r="V21" s="15">
        <f>IF(Q21&lt;0.5,0,IF(Q21&lt;0.75,5,IF(Q21&lt;1,10,IF(Q21&lt;1.2,15,IF(Q21&gt;=1.2,20)))))</f>
        <v>20</v>
      </c>
      <c r="W21" s="15">
        <f>IF(N21&lt;25000000,0,IF(N21&lt;50000000,5,IF(N21&lt;100000000,10,IF(N21&gt;=100000000,15))))</f>
        <v>0</v>
      </c>
      <c r="X21" s="15">
        <f>IF(R21&lt;0.1,0,IF(R21&lt;0.2,5,IF(R21&lt;0.4,10,IF(R21&lt;0.6,15,IF(R21&gt;=0.6,20)))))</f>
        <v>0</v>
      </c>
      <c r="Y21" s="15">
        <f>IF(S21&lt;1,0,IF(S21&lt;2,5,IF(S21&gt;=2,10)))</f>
        <v>5</v>
      </c>
      <c r="Z21" s="15">
        <f>IF(O21&lt;10,0,IF(O21&lt;20,5,IF(O21&gt;=20,10)))</f>
        <v>0</v>
      </c>
      <c r="AA21" s="16">
        <f>SUM(T21:Z21)</f>
        <v>45</v>
      </c>
      <c r="AB21" s="16" t="str">
        <f>IF(AA21&lt;30,"Grey",IF(AA21&lt;50,"Red",IF(AA21&lt;70,"Amber",IF(AA21&gt;=70,"Green"))))</f>
        <v>Red</v>
      </c>
    </row>
    <row r="22" spans="1:28" ht="17.25" thickBot="1" x14ac:dyDescent="0.35">
      <c r="A22" t="s">
        <v>19</v>
      </c>
      <c r="C22" s="1">
        <v>5</v>
      </c>
      <c r="D22" s="1">
        <v>0</v>
      </c>
      <c r="E22" s="1">
        <v>0</v>
      </c>
      <c r="F22" s="1">
        <v>0</v>
      </c>
      <c r="G22" s="1">
        <v>0</v>
      </c>
      <c r="H22" s="1">
        <v>5</v>
      </c>
      <c r="I22" s="1">
        <v>4</v>
      </c>
      <c r="J22" s="1">
        <v>0</v>
      </c>
      <c r="K22" s="1">
        <v>1</v>
      </c>
      <c r="L22" s="1">
        <v>0</v>
      </c>
      <c r="M22" s="1">
        <v>10</v>
      </c>
      <c r="N22" s="1">
        <v>714200</v>
      </c>
      <c r="O22" s="1">
        <v>16</v>
      </c>
      <c r="P22" s="13">
        <f>H22+I22</f>
        <v>9</v>
      </c>
      <c r="Q22" s="14">
        <f>P22/(C22+D22+E22+F22+G22)</f>
        <v>1.8</v>
      </c>
      <c r="R22" s="14">
        <f>L22/(C22+D22+E22+F22+G22)</f>
        <v>0</v>
      </c>
      <c r="S22" s="14">
        <f>M22/(C22+D22+E22+F22+G22)</f>
        <v>2</v>
      </c>
      <c r="T22" s="15">
        <f>IF(D22&gt;2,0,IF(D22=2,5,IF(D22=1,10,IF(D22&lt;1,15))))</f>
        <v>15</v>
      </c>
      <c r="U22" s="15">
        <f>IF(E22&gt;=2,0,IF(E22=1,5,IF(E22=0,10)))</f>
        <v>10</v>
      </c>
      <c r="V22" s="15">
        <f>IF(Q22&lt;0.5,0,IF(Q22&lt;0.75,5,IF(Q22&lt;1,10,IF(Q22&lt;1.2,15,IF(Q22&gt;=1.2,20)))))</f>
        <v>20</v>
      </c>
      <c r="W22" s="15">
        <f>IF(N22&lt;25000000,0,IF(N22&lt;50000000,5,IF(N22&lt;100000000,10,IF(N22&gt;=100000000,15))))</f>
        <v>0</v>
      </c>
      <c r="X22" s="15">
        <f>IF(R22&lt;0.1,0,IF(R22&lt;0.2,5,IF(R22&lt;0.4,10,IF(R22&lt;0.6,15,IF(R22&gt;=0.6,20)))))</f>
        <v>0</v>
      </c>
      <c r="Y22" s="15">
        <f>IF(S22&lt;1,0,IF(S22&lt;2,5,IF(S22&gt;=2,10)))</f>
        <v>10</v>
      </c>
      <c r="Z22" s="15">
        <f>IF(O22&lt;10,0,IF(O22&lt;20,5,IF(O22&gt;=20,10)))</f>
        <v>5</v>
      </c>
      <c r="AA22" s="16">
        <f>SUM(T22:Z22)</f>
        <v>60</v>
      </c>
      <c r="AB22" s="16" t="str">
        <f>IF(AA22&lt;30,"Grey",IF(AA22&lt;50,"Red",IF(AA22&lt;70,"Amber",IF(AA22&gt;=70,"Green"))))</f>
        <v>Amber</v>
      </c>
    </row>
    <row r="23" spans="1:28" ht="17.25" thickBot="1" x14ac:dyDescent="0.35">
      <c r="A23" t="s">
        <v>70</v>
      </c>
      <c r="C23" s="2">
        <v>4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5</v>
      </c>
      <c r="J23" s="2">
        <v>3</v>
      </c>
      <c r="K23" s="2">
        <v>5</v>
      </c>
      <c r="L23" s="2">
        <v>0</v>
      </c>
      <c r="M23" s="2">
        <v>9</v>
      </c>
      <c r="N23" s="2">
        <v>3140000</v>
      </c>
      <c r="O23" s="2">
        <v>0</v>
      </c>
      <c r="P23" s="13">
        <f>H23+I23</f>
        <v>6</v>
      </c>
      <c r="Q23" s="14">
        <f>P23/(C23+D23+E23+F23+G23)</f>
        <v>1.5</v>
      </c>
      <c r="R23" s="14">
        <f>L23/(C23+D23+E23+F23+G23)</f>
        <v>0</v>
      </c>
      <c r="S23" s="14">
        <f>M23/(C23+D23+E23+F23+G23)</f>
        <v>2.25</v>
      </c>
      <c r="T23" s="15">
        <f>IF(D23&gt;2,0,IF(D23=2,5,IF(D23=1,10,IF(D23&lt;1,15))))</f>
        <v>15</v>
      </c>
      <c r="U23" s="15">
        <f>IF(E23&gt;=2,0,IF(E23=1,5,IF(E23=0,10)))</f>
        <v>10</v>
      </c>
      <c r="V23" s="15">
        <f>IF(Q23&lt;0.5,0,IF(Q23&lt;0.75,5,IF(Q23&lt;1,10,IF(Q23&lt;1.2,15,IF(Q23&gt;=1.2,20)))))</f>
        <v>20</v>
      </c>
      <c r="W23" s="15">
        <f>IF(N23&lt;25000000,0,IF(N23&lt;50000000,5,IF(N23&lt;100000000,10,IF(N23&gt;=100000000,15))))</f>
        <v>0</v>
      </c>
      <c r="X23" s="15">
        <f>IF(R23&lt;0.1,0,IF(R23&lt;0.2,5,IF(R23&lt;0.4,10,IF(R23&lt;0.6,15,IF(R23&gt;=0.6,20)))))</f>
        <v>0</v>
      </c>
      <c r="Y23" s="15">
        <f>IF(S23&lt;1,0,IF(S23&lt;2,5,IF(S23&gt;=2,10)))</f>
        <v>10</v>
      </c>
      <c r="Z23" s="15">
        <f>IF(O23&lt;10,0,IF(O23&lt;20,5,IF(O23&gt;=20,10)))</f>
        <v>0</v>
      </c>
      <c r="AA23" s="16">
        <f>SUM(T23:Z23)</f>
        <v>55</v>
      </c>
      <c r="AB23" s="16" t="str">
        <f>IF(AA23&lt;30,"Grey",IF(AA23&lt;50,"Red",IF(AA23&lt;70,"Amber",IF(AA23&gt;=70,"Green"))))</f>
        <v>Amber</v>
      </c>
    </row>
    <row r="24" spans="1:28" ht="17.25" thickBot="1" x14ac:dyDescent="0.35">
      <c r="A24" t="s">
        <v>21</v>
      </c>
      <c r="C24" s="1">
        <v>5</v>
      </c>
      <c r="D24" s="1">
        <v>0</v>
      </c>
      <c r="E24" s="1">
        <v>0</v>
      </c>
      <c r="F24" s="1">
        <v>0</v>
      </c>
      <c r="G24" s="1">
        <v>0</v>
      </c>
      <c r="H24" s="1">
        <v>2</v>
      </c>
      <c r="I24" s="1">
        <v>14</v>
      </c>
      <c r="J24" s="1">
        <v>1</v>
      </c>
      <c r="K24" s="1">
        <v>0</v>
      </c>
      <c r="L24" s="1">
        <v>0</v>
      </c>
      <c r="M24" s="1">
        <v>20</v>
      </c>
      <c r="N24" s="1">
        <v>797000</v>
      </c>
      <c r="O24" s="1">
        <v>1</v>
      </c>
      <c r="P24" s="13">
        <f>H24+I24</f>
        <v>16</v>
      </c>
      <c r="Q24" s="14">
        <f>P24/(C24+D24+E24+F24+G24)</f>
        <v>3.2</v>
      </c>
      <c r="R24" s="14">
        <f>L24/(C24+D24+E24+F24+G24)</f>
        <v>0</v>
      </c>
      <c r="S24" s="14">
        <f>M24/(C24+D24+E24+F24+G24)</f>
        <v>4</v>
      </c>
      <c r="T24" s="15">
        <f>IF(D24&gt;2,0,IF(D24=2,5,IF(D24=1,10,IF(D24&lt;1,15))))</f>
        <v>15</v>
      </c>
      <c r="U24" s="15">
        <f>IF(E24&gt;=2,0,IF(E24=1,5,IF(E24=0,10)))</f>
        <v>10</v>
      </c>
      <c r="V24" s="15">
        <f>IF(Q24&lt;0.5,0,IF(Q24&lt;0.75,5,IF(Q24&lt;1,10,IF(Q24&lt;1.2,15,IF(Q24&gt;=1.2,20)))))</f>
        <v>20</v>
      </c>
      <c r="W24" s="15">
        <f>IF(N24&lt;25000000,0,IF(N24&lt;50000000,5,IF(N24&lt;100000000,10,IF(N24&gt;=100000000,15))))</f>
        <v>0</v>
      </c>
      <c r="X24" s="15">
        <f>IF(R24&lt;0.1,0,IF(R24&lt;0.2,5,IF(R24&lt;0.4,10,IF(R24&lt;0.6,15,IF(R24&gt;=0.6,20)))))</f>
        <v>0</v>
      </c>
      <c r="Y24" s="15">
        <f>IF(S24&lt;1,0,IF(S24&lt;2,5,IF(S24&gt;=2,10)))</f>
        <v>10</v>
      </c>
      <c r="Z24" s="15">
        <f>IF(O24&lt;10,0,IF(O24&lt;20,5,IF(O24&gt;=20,10)))</f>
        <v>0</v>
      </c>
      <c r="AA24" s="16">
        <f>SUM(T24:Z24)</f>
        <v>55</v>
      </c>
      <c r="AB24" s="16" t="str">
        <f>IF(AA24&lt;30,"Grey",IF(AA24&lt;50,"Red",IF(AA24&lt;70,"Amber",IF(AA24&gt;=70,"Green"))))</f>
        <v>Amber</v>
      </c>
    </row>
    <row r="25" spans="1:28" ht="17.25" thickBot="1" x14ac:dyDescent="0.35">
      <c r="A25" t="s">
        <v>24</v>
      </c>
      <c r="C25" s="2">
        <v>5</v>
      </c>
      <c r="D25" s="2">
        <v>0</v>
      </c>
      <c r="E25" s="2">
        <v>0</v>
      </c>
      <c r="F25" s="2">
        <v>0</v>
      </c>
      <c r="G25" s="2">
        <v>0</v>
      </c>
      <c r="H25" s="2">
        <v>6</v>
      </c>
      <c r="I25" s="2">
        <v>3</v>
      </c>
      <c r="J25" s="2">
        <v>6</v>
      </c>
      <c r="K25" s="2">
        <v>4</v>
      </c>
      <c r="L25" s="2">
        <v>0</v>
      </c>
      <c r="M25" s="2">
        <v>8</v>
      </c>
      <c r="N25" s="2">
        <v>1482800</v>
      </c>
      <c r="O25" s="2">
        <v>7</v>
      </c>
      <c r="P25" s="13">
        <f>H25+I25</f>
        <v>9</v>
      </c>
      <c r="Q25" s="14">
        <f>P25/(C25+D25+E25+F25+G25)</f>
        <v>1.8</v>
      </c>
      <c r="R25" s="14">
        <f>L25/(C25+D25+E25+F25+G25)</f>
        <v>0</v>
      </c>
      <c r="S25" s="14">
        <f>M25/(C25+D25+E25+F25+G25)</f>
        <v>1.6</v>
      </c>
      <c r="T25" s="15">
        <f>IF(D25&gt;2,0,IF(D25=2,5,IF(D25=1,10,IF(D25&lt;1,15))))</f>
        <v>15</v>
      </c>
      <c r="U25" s="15">
        <f>IF(E25&gt;=2,0,IF(E25=1,5,IF(E25=0,10)))</f>
        <v>10</v>
      </c>
      <c r="V25" s="15">
        <f>IF(Q25&lt;0.5,0,IF(Q25&lt;0.75,5,IF(Q25&lt;1,10,IF(Q25&lt;1.2,15,IF(Q25&gt;=1.2,20)))))</f>
        <v>20</v>
      </c>
      <c r="W25" s="15">
        <f>IF(N25&lt;25000000,0,IF(N25&lt;50000000,5,IF(N25&lt;100000000,10,IF(N25&gt;=100000000,15))))</f>
        <v>0</v>
      </c>
      <c r="X25" s="15">
        <f>IF(R25&lt;0.1,0,IF(R25&lt;0.2,5,IF(R25&lt;0.4,10,IF(R25&lt;0.6,15,IF(R25&gt;=0.6,20)))))</f>
        <v>0</v>
      </c>
      <c r="Y25" s="15">
        <f>IF(S25&lt;1,0,IF(S25&lt;2,5,IF(S25&gt;=2,10)))</f>
        <v>5</v>
      </c>
      <c r="Z25" s="15">
        <f>IF(O25&lt;10,0,IF(O25&lt;20,5,IF(O25&gt;=20,10)))</f>
        <v>0</v>
      </c>
      <c r="AA25" s="16">
        <f>SUM(T25:Z25)</f>
        <v>50</v>
      </c>
      <c r="AB25" s="16" t="str">
        <f>IF(AA25&lt;30,"Grey",IF(AA25&lt;50,"Red",IF(AA25&lt;70,"Amber",IF(AA25&gt;=70,"Green"))))</f>
        <v>Amber</v>
      </c>
    </row>
    <row r="26" spans="1:28" ht="17.25" thickBot="1" x14ac:dyDescent="0.35">
      <c r="A26" t="s">
        <v>23</v>
      </c>
      <c r="C26" s="1">
        <v>5</v>
      </c>
      <c r="D26" s="1">
        <v>0</v>
      </c>
      <c r="E26" s="1">
        <v>0</v>
      </c>
      <c r="F26" s="1">
        <v>0</v>
      </c>
      <c r="G26" s="1">
        <v>0</v>
      </c>
      <c r="H26" s="1">
        <v>4</v>
      </c>
      <c r="I26" s="1">
        <v>4</v>
      </c>
      <c r="J26" s="1">
        <v>10</v>
      </c>
      <c r="K26" s="1">
        <v>19</v>
      </c>
      <c r="L26" s="1">
        <v>0</v>
      </c>
      <c r="M26" s="1">
        <v>9</v>
      </c>
      <c r="N26" s="1">
        <v>1611300</v>
      </c>
      <c r="O26" s="1">
        <v>11</v>
      </c>
      <c r="P26" s="13">
        <f>H26+I26</f>
        <v>8</v>
      </c>
      <c r="Q26" s="14">
        <f>P26/(C26+D26+E26+F26+G26)</f>
        <v>1.6</v>
      </c>
      <c r="R26" s="14">
        <f>L26/(C26+D26+E26+F26+G26)</f>
        <v>0</v>
      </c>
      <c r="S26" s="14">
        <f>M26/(C26+D26+E26+F26+G26)</f>
        <v>1.8</v>
      </c>
      <c r="T26" s="15">
        <f>IF(D26&gt;2,0,IF(D26=2,5,IF(D26=1,10,IF(D26&lt;1,15))))</f>
        <v>15</v>
      </c>
      <c r="U26" s="15">
        <f>IF(E26&gt;=2,0,IF(E26=1,5,IF(E26=0,10)))</f>
        <v>10</v>
      </c>
      <c r="V26" s="15">
        <f>IF(Q26&lt;0.5,0,IF(Q26&lt;0.75,5,IF(Q26&lt;1,10,IF(Q26&lt;1.2,15,IF(Q26&gt;=1.2,20)))))</f>
        <v>20</v>
      </c>
      <c r="W26" s="15">
        <f>IF(N26&lt;25000000,0,IF(N26&lt;50000000,5,IF(N26&lt;100000000,10,IF(N26&gt;=100000000,15))))</f>
        <v>0</v>
      </c>
      <c r="X26" s="15">
        <f>IF(R26&lt;0.1,0,IF(R26&lt;0.2,5,IF(R26&lt;0.4,10,IF(R26&lt;0.6,15,IF(R26&gt;=0.6,20)))))</f>
        <v>0</v>
      </c>
      <c r="Y26" s="15">
        <f>IF(S26&lt;1,0,IF(S26&lt;2,5,IF(S26&gt;=2,10)))</f>
        <v>5</v>
      </c>
      <c r="Z26" s="15">
        <f>IF(O26&lt;10,0,IF(O26&lt;20,5,IF(O26&gt;=20,10)))</f>
        <v>5</v>
      </c>
      <c r="AA26" s="16">
        <f>SUM(T26:Z26)</f>
        <v>55</v>
      </c>
      <c r="AB26" s="16" t="str">
        <f>IF(AA26&lt;30,"Grey",IF(AA26&lt;50,"Red",IF(AA26&lt;70,"Amber",IF(AA26&gt;=70,"Green"))))</f>
        <v>Amber</v>
      </c>
    </row>
    <row r="27" spans="1:28" ht="17.25" thickBot="1" x14ac:dyDescent="0.35">
      <c r="A27" t="s">
        <v>68</v>
      </c>
      <c r="C27" s="2">
        <v>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5</v>
      </c>
      <c r="J27" s="2">
        <v>8</v>
      </c>
      <c r="K27" s="2">
        <v>3</v>
      </c>
      <c r="L27" s="2">
        <v>1</v>
      </c>
      <c r="M27" s="2">
        <v>8</v>
      </c>
      <c r="N27" s="2">
        <v>1574300</v>
      </c>
      <c r="O27" s="2">
        <v>0</v>
      </c>
      <c r="P27" s="13">
        <f>H27+I27</f>
        <v>5</v>
      </c>
      <c r="Q27" s="14">
        <f>P27/(C27+D27+E27+F27+G27)</f>
        <v>1</v>
      </c>
      <c r="R27" s="14">
        <f>L27/(C27+D27+E27+F27+G27)</f>
        <v>0.2</v>
      </c>
      <c r="S27" s="14">
        <f>M27/(C27+D27+E27+F27+G27)</f>
        <v>1.6</v>
      </c>
      <c r="T27" s="15">
        <f>IF(D27&gt;2,0,IF(D27=2,5,IF(D27=1,10,IF(D27&lt;1,15))))</f>
        <v>15</v>
      </c>
      <c r="U27" s="15">
        <f>IF(E27&gt;=2,0,IF(E27=1,5,IF(E27=0,10)))</f>
        <v>10</v>
      </c>
      <c r="V27" s="15">
        <f>IF(Q27&lt;0.5,0,IF(Q27&lt;0.75,5,IF(Q27&lt;1,10,IF(Q27&lt;1.2,15,IF(Q27&gt;=1.2,20)))))</f>
        <v>15</v>
      </c>
      <c r="W27" s="15">
        <f>IF(N27&lt;25000000,0,IF(N27&lt;50000000,5,IF(N27&lt;100000000,10,IF(N27&gt;=100000000,15))))</f>
        <v>0</v>
      </c>
      <c r="X27" s="15">
        <f>IF(R27&lt;0.1,0,IF(R27&lt;0.2,5,IF(R27&lt;0.4,10,IF(R27&lt;0.6,15,IF(R27&gt;=0.6,20)))))</f>
        <v>10</v>
      </c>
      <c r="Y27" s="15">
        <f>IF(S27&lt;1,0,IF(S27&lt;2,5,IF(S27&gt;=2,10)))</f>
        <v>5</v>
      </c>
      <c r="Z27" s="15">
        <f>IF(O27&lt;10,0,IF(O27&lt;20,5,IF(O27&gt;=20,10)))</f>
        <v>0</v>
      </c>
      <c r="AA27" s="16">
        <f>SUM(T27:Z27)</f>
        <v>55</v>
      </c>
      <c r="AB27" s="16" t="str">
        <f>IF(AA27&lt;30,"Grey",IF(AA27&lt;50,"Red",IF(AA27&lt;70,"Amber",IF(AA27&gt;=70,"Green"))))</f>
        <v>Amber</v>
      </c>
    </row>
    <row r="28" spans="1:28" ht="17.25" thickBot="1" x14ac:dyDescent="0.35">
      <c r="A28" t="s">
        <v>7</v>
      </c>
      <c r="C28" s="1">
        <v>5</v>
      </c>
      <c r="D28" s="1">
        <v>0</v>
      </c>
      <c r="E28" s="1">
        <v>0</v>
      </c>
      <c r="F28" s="1">
        <v>0</v>
      </c>
      <c r="G28" s="1">
        <v>0</v>
      </c>
      <c r="H28" s="1">
        <v>3</v>
      </c>
      <c r="I28" s="1">
        <v>5</v>
      </c>
      <c r="J28" s="1">
        <v>0</v>
      </c>
      <c r="K28" s="1">
        <v>0</v>
      </c>
      <c r="L28" s="1">
        <v>0</v>
      </c>
      <c r="M28" s="1">
        <v>10</v>
      </c>
      <c r="N28" s="1">
        <v>370000</v>
      </c>
      <c r="O28" s="1">
        <v>15</v>
      </c>
      <c r="P28" s="13">
        <f>H28+I28</f>
        <v>8</v>
      </c>
      <c r="Q28" s="14">
        <f>P28/(C28+D28+E28+F28+G28)</f>
        <v>1.6</v>
      </c>
      <c r="R28" s="14">
        <f>L28/(C28+D28+E28+F28+G28)</f>
        <v>0</v>
      </c>
      <c r="S28" s="14">
        <f>M28/(C28+D28+E28+F28+G28)</f>
        <v>2</v>
      </c>
      <c r="T28" s="15">
        <f>IF(D28&gt;2,0,IF(D28=2,5,IF(D28=1,10,IF(D28&lt;1,15))))</f>
        <v>15</v>
      </c>
      <c r="U28" s="15">
        <f>IF(E28&gt;=2,0,IF(E28=1,5,IF(E28=0,10)))</f>
        <v>10</v>
      </c>
      <c r="V28" s="15">
        <f>IF(Q28&lt;0.5,0,IF(Q28&lt;0.75,5,IF(Q28&lt;1,10,IF(Q28&lt;1.2,15,IF(Q28&gt;=1.2,20)))))</f>
        <v>20</v>
      </c>
      <c r="W28" s="15">
        <f>IF(N28&lt;25000000,0,IF(N28&lt;50000000,5,IF(N28&lt;100000000,10,IF(N28&gt;=100000000,15))))</f>
        <v>0</v>
      </c>
      <c r="X28" s="15">
        <f>IF(R28&lt;0.1,0,IF(R28&lt;0.2,5,IF(R28&lt;0.4,10,IF(R28&lt;0.6,15,IF(R28&gt;=0.6,20)))))</f>
        <v>0</v>
      </c>
      <c r="Y28" s="15">
        <f>IF(S28&lt;1,0,IF(S28&lt;2,5,IF(S28&gt;=2,10)))</f>
        <v>10</v>
      </c>
      <c r="Z28" s="15">
        <f>IF(O28&lt;10,0,IF(O28&lt;20,5,IF(O28&gt;=20,10)))</f>
        <v>5</v>
      </c>
      <c r="AA28" s="16">
        <f>SUM(T28:Z28)</f>
        <v>60</v>
      </c>
      <c r="AB28" s="16" t="str">
        <f>IF(AA28&lt;30,"Grey",IF(AA28&lt;50,"Red",IF(AA28&lt;70,"Amber",IF(AA28&gt;=70,"Green"))))</f>
        <v>Amber</v>
      </c>
    </row>
    <row r="29" spans="1:28" ht="17.25" thickBot="1" x14ac:dyDescent="0.35">
      <c r="A29" t="s">
        <v>8</v>
      </c>
      <c r="C29" s="2">
        <v>5</v>
      </c>
      <c r="D29" s="2">
        <v>0</v>
      </c>
      <c r="E29" s="2">
        <v>0</v>
      </c>
      <c r="F29" s="2">
        <v>0</v>
      </c>
      <c r="G29" s="2">
        <v>0</v>
      </c>
      <c r="H29" s="2">
        <v>2</v>
      </c>
      <c r="I29" s="2">
        <v>11</v>
      </c>
      <c r="J29" s="2">
        <v>0</v>
      </c>
      <c r="K29" s="2">
        <v>2</v>
      </c>
      <c r="L29" s="2">
        <v>0</v>
      </c>
      <c r="M29" s="2">
        <v>5</v>
      </c>
      <c r="N29" s="2">
        <v>10861300</v>
      </c>
      <c r="O29" s="2">
        <v>0</v>
      </c>
      <c r="P29" s="13">
        <f>H29+I29</f>
        <v>13</v>
      </c>
      <c r="Q29" s="14">
        <f>P29/(C29+D29+E29+F29+G29)</f>
        <v>2.6</v>
      </c>
      <c r="R29" s="14">
        <f>L29/(C29+D29+E29+F29+G29)</f>
        <v>0</v>
      </c>
      <c r="S29" s="14">
        <f>M29/(C29+D29+E29+F29+G29)</f>
        <v>1</v>
      </c>
      <c r="T29" s="15">
        <f>IF(D29&gt;2,0,IF(D29=2,5,IF(D29=1,10,IF(D29&lt;1,15))))</f>
        <v>15</v>
      </c>
      <c r="U29" s="15">
        <f>IF(E29&gt;=2,0,IF(E29=1,5,IF(E29=0,10)))</f>
        <v>10</v>
      </c>
      <c r="V29" s="15">
        <f>IF(Q29&lt;0.5,0,IF(Q29&lt;0.75,5,IF(Q29&lt;1,10,IF(Q29&lt;1.2,15,IF(Q29&gt;=1.2,20)))))</f>
        <v>20</v>
      </c>
      <c r="W29" s="15">
        <f>IF(N29&lt;25000000,0,IF(N29&lt;50000000,5,IF(N29&lt;100000000,10,IF(N29&gt;=100000000,15))))</f>
        <v>0</v>
      </c>
      <c r="X29" s="15">
        <f>IF(R29&lt;0.1,0,IF(R29&lt;0.2,5,IF(R29&lt;0.4,10,IF(R29&lt;0.6,15,IF(R29&gt;=0.6,20)))))</f>
        <v>0</v>
      </c>
      <c r="Y29" s="15">
        <f>IF(S29&lt;1,0,IF(S29&lt;2,5,IF(S29&gt;=2,10)))</f>
        <v>5</v>
      </c>
      <c r="Z29" s="15">
        <f>IF(O29&lt;10,0,IF(O29&lt;20,5,IF(O29&gt;=20,10)))</f>
        <v>0</v>
      </c>
      <c r="AA29" s="16">
        <f>SUM(T29:Z29)</f>
        <v>50</v>
      </c>
      <c r="AB29" s="16" t="str">
        <f>IF(AA29&lt;30,"Grey",IF(AA29&lt;50,"Red",IF(AA29&lt;70,"Amber",IF(AA29&gt;=70,"Green"))))</f>
        <v>Amber</v>
      </c>
    </row>
    <row r="30" spans="1:28" ht="17.25" thickBot="1" x14ac:dyDescent="0.35">
      <c r="A30" t="s">
        <v>64</v>
      </c>
      <c r="C30" s="2">
        <v>3</v>
      </c>
      <c r="D30" s="2">
        <v>1</v>
      </c>
      <c r="E30" s="2">
        <v>0</v>
      </c>
      <c r="F30" s="2">
        <v>1</v>
      </c>
      <c r="G30" s="2">
        <v>0</v>
      </c>
      <c r="H30" s="2">
        <v>4</v>
      </c>
      <c r="I30" s="2">
        <v>5</v>
      </c>
      <c r="J30" s="2">
        <v>2</v>
      </c>
      <c r="K30" s="2">
        <v>6</v>
      </c>
      <c r="L30" s="2">
        <v>0</v>
      </c>
      <c r="M30" s="2">
        <v>12</v>
      </c>
      <c r="N30" s="2">
        <v>1150000</v>
      </c>
      <c r="O30" s="2">
        <v>5</v>
      </c>
      <c r="P30" s="13">
        <f>H30+I30</f>
        <v>9</v>
      </c>
      <c r="Q30" s="14">
        <f>P30/(C30+D30+E30+F30+G30)</f>
        <v>1.8</v>
      </c>
      <c r="R30" s="14">
        <f>L30/(C30+D30+E30+F30+G30)</f>
        <v>0</v>
      </c>
      <c r="S30" s="14">
        <f>M30/(C30+D30+E30+F30+G30)</f>
        <v>2.4</v>
      </c>
      <c r="T30" s="15">
        <f>IF(D30&gt;2,0,IF(D30=2,5,IF(D30=1,10,IF(D30&lt;1,15))))</f>
        <v>10</v>
      </c>
      <c r="U30" s="15">
        <f>IF(E30&gt;=2,0,IF(E30=1,5,IF(E30=0,10)))</f>
        <v>10</v>
      </c>
      <c r="V30" s="15">
        <f>IF(Q30&lt;0.5,0,IF(Q30&lt;0.75,5,IF(Q30&lt;1,10,IF(Q30&lt;1.2,15,IF(Q30&gt;=1.2,20)))))</f>
        <v>20</v>
      </c>
      <c r="W30" s="15">
        <f>IF(N30&lt;25000000,0,IF(N30&lt;50000000,5,IF(N30&lt;100000000,10,IF(N30&gt;=100000000,15))))</f>
        <v>0</v>
      </c>
      <c r="X30" s="15">
        <f>IF(R30&lt;0.1,0,IF(R30&lt;0.2,5,IF(R30&lt;0.4,10,IF(R30&lt;0.6,15,IF(R30&gt;=0.6,20)))))</f>
        <v>0</v>
      </c>
      <c r="Y30" s="15">
        <f>IF(S30&lt;1,0,IF(S30&lt;2,5,IF(S30&gt;=2,10)))</f>
        <v>10</v>
      </c>
      <c r="Z30" s="15">
        <f>IF(O30&lt;10,0,IF(O30&lt;20,5,IF(O30&gt;=20,10)))</f>
        <v>0</v>
      </c>
      <c r="AA30" s="16">
        <f>SUM(T30:Z30)</f>
        <v>50</v>
      </c>
      <c r="AB30" s="16" t="str">
        <f>IF(AA30&lt;30,"Grey",IF(AA30&lt;50,"Red",IF(AA30&lt;70,"Amber",IF(AA30&gt;=70,"Green"))))</f>
        <v>Amber</v>
      </c>
    </row>
    <row r="31" spans="1:28" ht="17.25" thickBot="1" x14ac:dyDescent="0.35">
      <c r="A31" t="s">
        <v>6</v>
      </c>
      <c r="C31" s="1">
        <v>4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5</v>
      </c>
      <c r="J31" s="1">
        <v>3</v>
      </c>
      <c r="K31" s="1">
        <v>2</v>
      </c>
      <c r="L31" s="1">
        <v>0</v>
      </c>
      <c r="M31" s="1">
        <v>11</v>
      </c>
      <c r="N31" s="27">
        <v>120420000</v>
      </c>
      <c r="O31" s="27">
        <v>17</v>
      </c>
      <c r="P31" s="13">
        <f>H31+I31</f>
        <v>5</v>
      </c>
      <c r="Q31" s="14">
        <f>P31/(C31+D31+E31+F31+G31)</f>
        <v>1</v>
      </c>
      <c r="R31" s="14">
        <f>L31/(C31+D31+E31+F31+G31)</f>
        <v>0</v>
      </c>
      <c r="S31" s="14">
        <f>M31/(C31+D31+E31+F31+G31)</f>
        <v>2.2000000000000002</v>
      </c>
      <c r="T31" s="15">
        <f>IF(D31&gt;2,0,IF(D31=2,5,IF(D31=1,10,IF(D31&lt;1,15))))</f>
        <v>15</v>
      </c>
      <c r="U31" s="15">
        <f>IF(E31&gt;=2,0,IF(E31=1,5,IF(E31=0,10)))</f>
        <v>5</v>
      </c>
      <c r="V31" s="15">
        <f>IF(Q31&lt;0.5,0,IF(Q31&lt;0.75,5,IF(Q31&lt;1,10,IF(Q31&lt;1.2,15,IF(Q31&gt;=1.2,20)))))</f>
        <v>15</v>
      </c>
      <c r="W31" s="15">
        <f>IF(N31&lt;25000000,0,IF(N31&lt;50000000,5,IF(N31&lt;100000000,10,IF(N31&gt;=100000000,15))))</f>
        <v>15</v>
      </c>
      <c r="X31" s="15">
        <f>IF(R31&lt;0.1,0,IF(R31&lt;0.2,5,IF(R31&lt;0.4,10,IF(R31&lt;0.6,15,IF(R31&gt;=0.6,20)))))</f>
        <v>0</v>
      </c>
      <c r="Y31" s="15">
        <f>IF(S31&lt;1,0,IF(S31&lt;2,5,IF(S31&gt;=2,10)))</f>
        <v>10</v>
      </c>
      <c r="Z31" s="15">
        <f>IF(O31&lt;10,0,IF(O31&lt;20,5,IF(O31&gt;=20,10)))</f>
        <v>5</v>
      </c>
      <c r="AA31" s="16">
        <f>SUM(T31:Z31)</f>
        <v>65</v>
      </c>
      <c r="AB31" s="16" t="str">
        <f>IF(AA31&lt;30,"Grey",IF(AA31&lt;50,"Red",IF(AA31&lt;70,"Amber",IF(AA31&gt;=70,"Green"))))</f>
        <v>Amber</v>
      </c>
    </row>
    <row r="32" spans="1:28" ht="17.25" thickBot="1" x14ac:dyDescent="0.35">
      <c r="A32" t="s">
        <v>1</v>
      </c>
      <c r="C32" s="1">
        <v>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12</v>
      </c>
      <c r="J32" s="1">
        <v>5</v>
      </c>
      <c r="K32" s="1">
        <v>8</v>
      </c>
      <c r="L32" s="1">
        <v>0</v>
      </c>
      <c r="M32" s="1">
        <v>13</v>
      </c>
      <c r="N32" s="1">
        <v>8790000</v>
      </c>
      <c r="O32" s="1">
        <v>9</v>
      </c>
      <c r="P32" s="13">
        <f>H32+I32</f>
        <v>12</v>
      </c>
      <c r="Q32" s="14">
        <f>P32/(C32+D32+E32+F32+G32)</f>
        <v>2.4</v>
      </c>
      <c r="R32" s="14">
        <f>L32/(C32+D32+E32+F32+G32)</f>
        <v>0</v>
      </c>
      <c r="S32" s="14">
        <f>M32/(C32+D32+E32+F32+G32)</f>
        <v>2.6</v>
      </c>
      <c r="T32" s="15">
        <f>IF(D32&gt;2,0,IF(D32=2,5,IF(D32=1,10,IF(D32&lt;1,15))))</f>
        <v>15</v>
      </c>
      <c r="U32" s="15">
        <f>IF(E32&gt;=2,0,IF(E32=1,5,IF(E32=0,10)))</f>
        <v>10</v>
      </c>
      <c r="V32" s="15">
        <f>IF(Q32&lt;0.5,0,IF(Q32&lt;0.75,5,IF(Q32&lt;1,10,IF(Q32&lt;1.2,15,IF(Q32&gt;=1.2,20)))))</f>
        <v>20</v>
      </c>
      <c r="W32" s="15">
        <f>IF(N32&lt;25000000,0,IF(N32&lt;50000000,5,IF(N32&lt;100000000,10,IF(N32&gt;=100000000,15))))</f>
        <v>0</v>
      </c>
      <c r="X32" s="15">
        <f>IF(R32&lt;0.1,0,IF(R32&lt;0.2,5,IF(R32&lt;0.4,10,IF(R32&lt;0.6,15,IF(R32&gt;=0.6,20)))))</f>
        <v>0</v>
      </c>
      <c r="Y32" s="15">
        <f>IF(S32&lt;1,0,IF(S32&lt;2,5,IF(S32&gt;=2,10)))</f>
        <v>10</v>
      </c>
      <c r="Z32" s="15">
        <f>IF(O32&lt;10,0,IF(O32&lt;20,5,IF(O32&gt;=20,10)))</f>
        <v>0</v>
      </c>
      <c r="AA32" s="16">
        <f>SUM(T32:Z32)</f>
        <v>55</v>
      </c>
      <c r="AB32" s="16" t="str">
        <f>IF(AA32&lt;30,"Grey",IF(AA32&lt;50,"Red",IF(AA32&lt;70,"Amber",IF(AA32&gt;=70,"Green"))))</f>
        <v>Amber</v>
      </c>
    </row>
    <row r="33" spans="1:28" ht="17.25" thickBot="1" x14ac:dyDescent="0.35">
      <c r="A33" t="s">
        <v>2</v>
      </c>
      <c r="C33" s="1">
        <v>4</v>
      </c>
      <c r="D33" s="1">
        <v>1</v>
      </c>
      <c r="E33" s="1">
        <v>0</v>
      </c>
      <c r="F33" s="1">
        <v>0</v>
      </c>
      <c r="G33" s="1">
        <v>0</v>
      </c>
      <c r="H33" s="1">
        <v>3</v>
      </c>
      <c r="I33" s="1">
        <v>0</v>
      </c>
      <c r="J33" s="1">
        <v>2</v>
      </c>
      <c r="K33" s="1">
        <v>16</v>
      </c>
      <c r="L33" s="1">
        <v>0</v>
      </c>
      <c r="M33" s="1">
        <v>6</v>
      </c>
      <c r="N33" s="1">
        <v>6550000</v>
      </c>
      <c r="O33" s="1">
        <v>0</v>
      </c>
      <c r="P33" s="13">
        <f>H33+I33</f>
        <v>3</v>
      </c>
      <c r="Q33" s="14">
        <f>P33/(C33+D33+E33+F33+G33)</f>
        <v>0.6</v>
      </c>
      <c r="R33" s="14">
        <f>L33/(C33+D33+E33+F33+G33)</f>
        <v>0</v>
      </c>
      <c r="S33" s="14">
        <f>M33/(C33+D33+E33+F33+G33)</f>
        <v>1.2</v>
      </c>
      <c r="T33" s="15">
        <f>IF(D33&gt;2,0,IF(D33=2,5,IF(D33=1,10,IF(D33&lt;1,15))))</f>
        <v>10</v>
      </c>
      <c r="U33" s="15">
        <f>IF(E33&gt;=2,0,IF(E33=1,5,IF(E33=0,10)))</f>
        <v>10</v>
      </c>
      <c r="V33" s="15">
        <f>IF(Q33&lt;0.5,0,IF(Q33&lt;0.75,5,IF(Q33&lt;1,10,IF(Q33&lt;1.2,15,IF(Q33&gt;=1.2,20)))))</f>
        <v>5</v>
      </c>
      <c r="W33" s="15">
        <f>IF(N33&lt;25000000,0,IF(N33&lt;50000000,5,IF(N33&lt;100000000,10,IF(N33&gt;=100000000,15))))</f>
        <v>0</v>
      </c>
      <c r="X33" s="15">
        <f>IF(R33&lt;0.1,0,IF(R33&lt;0.2,5,IF(R33&lt;0.4,10,IF(R33&lt;0.6,15,IF(R33&gt;=0.6,20)))))</f>
        <v>0</v>
      </c>
      <c r="Y33" s="15">
        <f>IF(S33&lt;1,0,IF(S33&lt;2,5,IF(S33&gt;=2,10)))</f>
        <v>5</v>
      </c>
      <c r="Z33" s="15">
        <f>IF(O33&lt;10,0,IF(O33&lt;20,5,IF(O33&gt;=20,10)))</f>
        <v>0</v>
      </c>
      <c r="AA33" s="16">
        <f>SUM(T33:Z33)</f>
        <v>30</v>
      </c>
      <c r="AB33" s="16" t="str">
        <f>IF(AA33&lt;30,"Grey",IF(AA33&lt;50,"Red",IF(AA33&lt;70,"Amber",IF(AA33&gt;=70,"Green"))))</f>
        <v>Red</v>
      </c>
    </row>
    <row r="34" spans="1:28" ht="17.25" thickBot="1" x14ac:dyDescent="0.35">
      <c r="A34" t="s">
        <v>4</v>
      </c>
      <c r="C34" s="2">
        <v>4</v>
      </c>
      <c r="D34" s="2">
        <v>0</v>
      </c>
      <c r="E34" s="2">
        <v>0</v>
      </c>
      <c r="F34" s="2">
        <v>1</v>
      </c>
      <c r="G34" s="2">
        <v>0</v>
      </c>
      <c r="H34" s="2">
        <v>3</v>
      </c>
      <c r="I34" s="2">
        <v>10</v>
      </c>
      <c r="J34" s="2">
        <v>0</v>
      </c>
      <c r="K34" s="2">
        <v>1</v>
      </c>
      <c r="L34" s="2">
        <v>0</v>
      </c>
      <c r="M34" s="27">
        <v>21</v>
      </c>
      <c r="N34" s="2">
        <v>100000</v>
      </c>
      <c r="O34" s="2">
        <v>2</v>
      </c>
      <c r="P34" s="13">
        <f>H34+I34</f>
        <v>13</v>
      </c>
      <c r="Q34" s="14">
        <f>P34/(C34+D34+E34+F34+G34)</f>
        <v>2.6</v>
      </c>
      <c r="R34" s="14">
        <f>L34/(C34+D34+E34+F34+G34)</f>
        <v>0</v>
      </c>
      <c r="S34" s="14">
        <f>M34/(C34+D34+E34+F34+G34)</f>
        <v>4.2</v>
      </c>
      <c r="T34" s="15">
        <f>IF(D34&gt;2,0,IF(D34=2,5,IF(D34=1,10,IF(D34&lt;1,15))))</f>
        <v>15</v>
      </c>
      <c r="U34" s="15">
        <f>IF(E34&gt;=2,0,IF(E34=1,5,IF(E34=0,10)))</f>
        <v>10</v>
      </c>
      <c r="V34" s="15">
        <f>IF(Q34&lt;0.5,0,IF(Q34&lt;0.75,5,IF(Q34&lt;1,10,IF(Q34&lt;1.2,15,IF(Q34&gt;=1.2,20)))))</f>
        <v>20</v>
      </c>
      <c r="W34" s="15">
        <f>IF(N34&lt;25000000,0,IF(N34&lt;50000000,5,IF(N34&lt;100000000,10,IF(N34&gt;=100000000,15))))</f>
        <v>0</v>
      </c>
      <c r="X34" s="15">
        <f>IF(R34&lt;0.1,0,IF(R34&lt;0.2,5,IF(R34&lt;0.4,10,IF(R34&lt;0.6,15,IF(R34&gt;=0.6,20)))))</f>
        <v>0</v>
      </c>
      <c r="Y34" s="15">
        <f>IF(S34&lt;1,0,IF(S34&lt;2,5,IF(S34&gt;=2,10)))</f>
        <v>10</v>
      </c>
      <c r="Z34" s="15">
        <f>IF(O34&lt;10,0,IF(O34&lt;20,5,IF(O34&gt;=20,10)))</f>
        <v>0</v>
      </c>
      <c r="AA34" s="16">
        <f>SUM(T34:Z34)</f>
        <v>55</v>
      </c>
      <c r="AB34" s="16" t="str">
        <f>IF(AA34&lt;30,"Grey",IF(AA34&lt;50,"Red",IF(AA34&lt;70,"Amber",IF(AA34&gt;=70,"Green"))))</f>
        <v>Amber</v>
      </c>
    </row>
    <row r="35" spans="1:28" ht="17.25" thickBot="1" x14ac:dyDescent="0.35">
      <c r="A35" t="s">
        <v>5</v>
      </c>
      <c r="C35" s="1">
        <v>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12</v>
      </c>
      <c r="J35" s="1">
        <v>4</v>
      </c>
      <c r="K35" s="1">
        <v>2</v>
      </c>
      <c r="L35" s="1">
        <v>1</v>
      </c>
      <c r="M35" s="1">
        <v>10</v>
      </c>
      <c r="N35" s="1">
        <v>0</v>
      </c>
      <c r="O35" s="1">
        <v>10</v>
      </c>
      <c r="P35" s="13">
        <f>H35+I35</f>
        <v>12</v>
      </c>
      <c r="Q35" s="14">
        <f>P35/(C35+D35+E35+F35+G35)</f>
        <v>2.4</v>
      </c>
      <c r="R35" s="14">
        <f>L35/(C35+D35+E35+F35+G35)</f>
        <v>0.2</v>
      </c>
      <c r="S35" s="14">
        <f>M35/(C35+D35+E35+F35+G35)</f>
        <v>2</v>
      </c>
      <c r="T35" s="15">
        <f>IF(D35&gt;2,0,IF(D35=2,5,IF(D35=1,10,IF(D35&lt;1,15))))</f>
        <v>15</v>
      </c>
      <c r="U35" s="15">
        <f>IF(E35&gt;=2,0,IF(E35=1,5,IF(E35=0,10)))</f>
        <v>10</v>
      </c>
      <c r="V35" s="15">
        <f>IF(Q35&lt;0.5,0,IF(Q35&lt;0.75,5,IF(Q35&lt;1,10,IF(Q35&lt;1.2,15,IF(Q35&gt;=1.2,20)))))</f>
        <v>20</v>
      </c>
      <c r="W35" s="15">
        <f>IF(N35&lt;25000000,0,IF(N35&lt;50000000,5,IF(N35&lt;100000000,10,IF(N35&gt;=100000000,15))))</f>
        <v>0</v>
      </c>
      <c r="X35" s="15">
        <f>IF(R35&lt;0.1,0,IF(R35&lt;0.2,5,IF(R35&lt;0.4,10,IF(R35&lt;0.6,15,IF(R35&gt;=0.6,20)))))</f>
        <v>10</v>
      </c>
      <c r="Y35" s="15">
        <f>IF(S35&lt;1,0,IF(S35&lt;2,5,IF(S35&gt;=2,10)))</f>
        <v>10</v>
      </c>
      <c r="Z35" s="15">
        <f>IF(O35&lt;10,0,IF(O35&lt;20,5,IF(O35&gt;=20,10)))</f>
        <v>5</v>
      </c>
      <c r="AA35" s="16">
        <f>SUM(T35:Z35)</f>
        <v>70</v>
      </c>
      <c r="AB35" s="16" t="str">
        <f>IF(AA35&lt;30,"Grey",IF(AA35&lt;50,"Red",IF(AA35&lt;70,"Amber",IF(AA35&gt;=70,"Green"))))</f>
        <v>Green</v>
      </c>
    </row>
  </sheetData>
  <autoFilter ref="A2:AB2" xr:uid="{BEFB8D7B-0ECA-41D4-BF54-FAAA29AB911F}">
    <sortState xmlns:xlrd2="http://schemas.microsoft.com/office/spreadsheetml/2017/richdata2" ref="A3:AB35">
      <sortCondition ref="A2"/>
    </sortState>
  </autoFilter>
  <phoneticPr fontId="5" type="noConversion"/>
  <conditionalFormatting sqref="AA3:AA35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38CF-5767-46FF-9603-DD1A28E3EE97}">
  <dimension ref="A1:AB35"/>
  <sheetViews>
    <sheetView workbookViewId="0">
      <selection sqref="A1:XFD1048576"/>
    </sheetView>
  </sheetViews>
  <sheetFormatPr defaultRowHeight="16.5" x14ac:dyDescent="0.3"/>
  <cols>
    <col min="1" max="1" width="10.75" customWidth="1"/>
    <col min="2" max="2" width="6.375" customWidth="1"/>
    <col min="3" max="13" width="4.875" customWidth="1"/>
    <col min="15" max="15" width="4.875" customWidth="1"/>
    <col min="16" max="26" width="5.125" customWidth="1"/>
  </cols>
  <sheetData>
    <row r="1" spans="1:28" x14ac:dyDescent="0.3">
      <c r="A1" s="17" t="s">
        <v>61</v>
      </c>
      <c r="B1" s="17"/>
    </row>
    <row r="2" spans="1:28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8" ht="17.25" thickBot="1" x14ac:dyDescent="0.35">
      <c r="A3" t="s">
        <v>71</v>
      </c>
      <c r="C3" s="1">
        <v>3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18</v>
      </c>
      <c r="J3" s="1">
        <v>1</v>
      </c>
      <c r="K3" s="1">
        <v>0</v>
      </c>
      <c r="L3" s="1">
        <v>1</v>
      </c>
      <c r="M3" s="1">
        <v>10</v>
      </c>
      <c r="N3" s="1">
        <v>0</v>
      </c>
      <c r="O3" s="1">
        <v>5</v>
      </c>
      <c r="P3" s="26">
        <f t="shared" ref="P3:P35" si="0">H3+I3</f>
        <v>18</v>
      </c>
      <c r="Q3" s="14">
        <f t="shared" ref="Q3:Q35" si="1">P3/(C3+D3+E3+F3+G3)</f>
        <v>4.5</v>
      </c>
      <c r="R3" s="14">
        <f t="shared" ref="R3:R35" si="2">L3/(C3+D3+E3+F3+G3)</f>
        <v>0.25</v>
      </c>
      <c r="S3" s="14">
        <f t="shared" ref="S3:S35" si="3">M3/(C3+D3+E3+F3+G3)</f>
        <v>2.5</v>
      </c>
      <c r="T3" s="15">
        <f t="shared" ref="T3:T35" si="4">IF(D3&gt;2,0,IF(D3=2,5,IF(D3=1,10,IF(D3&lt;1,15))))</f>
        <v>15</v>
      </c>
      <c r="U3" s="15">
        <f t="shared" ref="U3:U35" si="5">IF(E3&gt;=2,0,IF(E3=1,5,IF(E3=0,10)))</f>
        <v>10</v>
      </c>
      <c r="V3" s="15">
        <f t="shared" ref="V3:V35" si="6">IF(Q3&lt;0.5,0,IF(Q3&lt;0.75,5,IF(Q3&lt;1,10,IF(Q3&lt;1.2,15,IF(Q3&gt;=1.2,20)))))</f>
        <v>20</v>
      </c>
      <c r="W3" s="15">
        <f t="shared" ref="W3:W35" si="7">IF(N3&lt;25000000,0,IF(N3&lt;50000000,5,IF(N3&lt;100000000,10,IF(N3&gt;=100000000,15))))</f>
        <v>0</v>
      </c>
      <c r="X3" s="15">
        <f t="shared" ref="X3:X35" si="8">IF(R3&lt;0.1,0,IF(R3&lt;0.2,5,IF(R3&lt;0.4,10,IF(R3&lt;0.6,15,IF(R3&gt;=0.6,20)))))</f>
        <v>10</v>
      </c>
      <c r="Y3" s="15">
        <f t="shared" ref="Y3:Y35" si="9">IF(S3&lt;1,0,IF(S3&lt;2,5,IF(S3&gt;=2,10)))</f>
        <v>10</v>
      </c>
      <c r="Z3" s="15">
        <f t="shared" ref="Z3:Z35" si="10">IF(O3&lt;10,0,IF(O3&lt;20,5,IF(O3&gt;=20,10)))</f>
        <v>0</v>
      </c>
      <c r="AA3" s="16">
        <f t="shared" ref="AA3:AA35" si="11">SUM(T3:Z3)</f>
        <v>65</v>
      </c>
      <c r="AB3" s="16" t="str">
        <f t="shared" ref="AB3:AB35" si="12">IF(AA3&lt;30,"Grey",IF(AA3&lt;50,"Red",IF(AA3&lt;70,"Amber",IF(AA3&gt;=70,"Green"))))</f>
        <v>Amber</v>
      </c>
    </row>
    <row r="4" spans="1:28" ht="17.25" thickBot="1" x14ac:dyDescent="0.35">
      <c r="A4" t="s">
        <v>63</v>
      </c>
      <c r="C4" s="1">
        <v>4</v>
      </c>
      <c r="D4" s="1">
        <v>0</v>
      </c>
      <c r="E4" s="1">
        <v>0</v>
      </c>
      <c r="F4" s="1">
        <v>0</v>
      </c>
      <c r="G4" s="1">
        <v>0</v>
      </c>
      <c r="H4" s="1">
        <v>3</v>
      </c>
      <c r="I4" s="1">
        <v>14</v>
      </c>
      <c r="J4" s="1">
        <v>0</v>
      </c>
      <c r="K4" s="1">
        <v>0</v>
      </c>
      <c r="L4" s="1">
        <v>1</v>
      </c>
      <c r="M4" s="1">
        <v>14</v>
      </c>
      <c r="N4" s="1">
        <v>1135000</v>
      </c>
      <c r="O4" s="27">
        <v>10</v>
      </c>
      <c r="P4" s="26">
        <f t="shared" si="0"/>
        <v>17</v>
      </c>
      <c r="Q4" s="14">
        <f t="shared" si="1"/>
        <v>4.25</v>
      </c>
      <c r="R4" s="14">
        <f t="shared" si="2"/>
        <v>0.25</v>
      </c>
      <c r="S4" s="14">
        <f t="shared" si="3"/>
        <v>3.5</v>
      </c>
      <c r="T4" s="15">
        <f t="shared" si="4"/>
        <v>15</v>
      </c>
      <c r="U4" s="15">
        <f t="shared" si="5"/>
        <v>10</v>
      </c>
      <c r="V4" s="15">
        <f t="shared" si="6"/>
        <v>20</v>
      </c>
      <c r="W4" s="15">
        <f t="shared" si="7"/>
        <v>0</v>
      </c>
      <c r="X4" s="15">
        <f t="shared" si="8"/>
        <v>10</v>
      </c>
      <c r="Y4" s="15">
        <f t="shared" si="9"/>
        <v>10</v>
      </c>
      <c r="Z4" s="15">
        <f t="shared" si="10"/>
        <v>5</v>
      </c>
      <c r="AA4" s="16">
        <f t="shared" si="11"/>
        <v>70</v>
      </c>
      <c r="AB4" s="16" t="str">
        <f t="shared" si="12"/>
        <v>Green</v>
      </c>
    </row>
    <row r="5" spans="1:28" ht="17.25" thickBot="1" x14ac:dyDescent="0.35">
      <c r="A5" t="s">
        <v>11</v>
      </c>
      <c r="C5" s="2">
        <v>4</v>
      </c>
      <c r="D5" s="2">
        <v>0</v>
      </c>
      <c r="E5" s="2">
        <v>0</v>
      </c>
      <c r="F5" s="2">
        <v>0</v>
      </c>
      <c r="G5" s="2">
        <v>0</v>
      </c>
      <c r="H5" s="2">
        <v>4</v>
      </c>
      <c r="I5" s="2">
        <v>10</v>
      </c>
      <c r="J5" s="2">
        <v>0</v>
      </c>
      <c r="K5" s="2">
        <v>0</v>
      </c>
      <c r="L5" s="2">
        <v>0</v>
      </c>
      <c r="M5" s="2">
        <v>3</v>
      </c>
      <c r="N5" s="2">
        <v>3733000</v>
      </c>
      <c r="O5" s="2">
        <v>5</v>
      </c>
      <c r="P5" s="26">
        <f t="shared" si="0"/>
        <v>14</v>
      </c>
      <c r="Q5" s="14">
        <f t="shared" si="1"/>
        <v>3.5</v>
      </c>
      <c r="R5" s="14">
        <f t="shared" si="2"/>
        <v>0</v>
      </c>
      <c r="S5" s="14">
        <f t="shared" si="3"/>
        <v>0.75</v>
      </c>
      <c r="T5" s="15">
        <f t="shared" si="4"/>
        <v>15</v>
      </c>
      <c r="U5" s="15">
        <f t="shared" si="5"/>
        <v>10</v>
      </c>
      <c r="V5" s="15">
        <f t="shared" si="6"/>
        <v>20</v>
      </c>
      <c r="W5" s="15">
        <f t="shared" si="7"/>
        <v>0</v>
      </c>
      <c r="X5" s="15">
        <f t="shared" si="8"/>
        <v>0</v>
      </c>
      <c r="Y5" s="15">
        <f t="shared" si="9"/>
        <v>0</v>
      </c>
      <c r="Z5" s="15">
        <f t="shared" si="10"/>
        <v>0</v>
      </c>
      <c r="AA5" s="16">
        <f t="shared" si="11"/>
        <v>45</v>
      </c>
      <c r="AB5" s="16" t="str">
        <f t="shared" si="12"/>
        <v>Red</v>
      </c>
    </row>
    <row r="6" spans="1:28" ht="17.25" thickBot="1" x14ac:dyDescent="0.35">
      <c r="A6" t="s">
        <v>14</v>
      </c>
      <c r="C6" s="2">
        <v>4</v>
      </c>
      <c r="D6" s="2">
        <v>0</v>
      </c>
      <c r="E6" s="2">
        <v>0</v>
      </c>
      <c r="F6" s="2">
        <v>0</v>
      </c>
      <c r="G6" s="2">
        <v>0</v>
      </c>
      <c r="H6" s="2">
        <v>4</v>
      </c>
      <c r="I6" s="2">
        <v>5</v>
      </c>
      <c r="J6" s="2">
        <v>2</v>
      </c>
      <c r="K6" s="2">
        <v>7</v>
      </c>
      <c r="L6" s="2">
        <v>0</v>
      </c>
      <c r="M6" s="2">
        <v>14</v>
      </c>
      <c r="N6" s="2">
        <v>2915000</v>
      </c>
      <c r="O6" s="2">
        <v>3</v>
      </c>
      <c r="P6" s="13">
        <f t="shared" si="0"/>
        <v>9</v>
      </c>
      <c r="Q6" s="14">
        <f t="shared" si="1"/>
        <v>2.25</v>
      </c>
      <c r="R6" s="14">
        <f t="shared" si="2"/>
        <v>0</v>
      </c>
      <c r="S6" s="14">
        <f t="shared" si="3"/>
        <v>3.5</v>
      </c>
      <c r="T6" s="15">
        <f t="shared" si="4"/>
        <v>15</v>
      </c>
      <c r="U6" s="15">
        <f t="shared" si="5"/>
        <v>10</v>
      </c>
      <c r="V6" s="15">
        <f t="shared" si="6"/>
        <v>20</v>
      </c>
      <c r="W6" s="15">
        <f t="shared" si="7"/>
        <v>0</v>
      </c>
      <c r="X6" s="15">
        <f t="shared" si="8"/>
        <v>0</v>
      </c>
      <c r="Y6" s="15">
        <f t="shared" si="9"/>
        <v>10</v>
      </c>
      <c r="Z6" s="15">
        <f t="shared" si="10"/>
        <v>0</v>
      </c>
      <c r="AA6" s="16">
        <f t="shared" si="11"/>
        <v>55</v>
      </c>
      <c r="AB6" s="16" t="str">
        <f t="shared" si="12"/>
        <v>Amber</v>
      </c>
    </row>
    <row r="7" spans="1:28" ht="17.25" thickBot="1" x14ac:dyDescent="0.35">
      <c r="A7" t="s">
        <v>21</v>
      </c>
      <c r="C7" s="1">
        <v>3</v>
      </c>
      <c r="D7" s="1">
        <v>0</v>
      </c>
      <c r="E7" s="1">
        <v>0</v>
      </c>
      <c r="F7" s="1">
        <v>0</v>
      </c>
      <c r="G7" s="1">
        <v>1</v>
      </c>
      <c r="H7" s="1">
        <v>2</v>
      </c>
      <c r="I7" s="1">
        <v>6</v>
      </c>
      <c r="J7" s="1">
        <v>0</v>
      </c>
      <c r="K7" s="1">
        <v>0</v>
      </c>
      <c r="L7" s="1">
        <v>0</v>
      </c>
      <c r="M7" s="1">
        <v>12</v>
      </c>
      <c r="N7" s="1">
        <v>459120</v>
      </c>
      <c r="O7" s="1">
        <v>1</v>
      </c>
      <c r="P7" s="13">
        <f t="shared" si="0"/>
        <v>8</v>
      </c>
      <c r="Q7" s="14">
        <f t="shared" si="1"/>
        <v>2</v>
      </c>
      <c r="R7" s="14">
        <f t="shared" si="2"/>
        <v>0</v>
      </c>
      <c r="S7" s="14">
        <f t="shared" si="3"/>
        <v>3</v>
      </c>
      <c r="T7" s="15">
        <f t="shared" si="4"/>
        <v>15</v>
      </c>
      <c r="U7" s="15">
        <f t="shared" si="5"/>
        <v>10</v>
      </c>
      <c r="V7" s="15">
        <f t="shared" si="6"/>
        <v>20</v>
      </c>
      <c r="W7" s="15">
        <f t="shared" si="7"/>
        <v>0</v>
      </c>
      <c r="X7" s="15">
        <f t="shared" si="8"/>
        <v>0</v>
      </c>
      <c r="Y7" s="15">
        <f t="shared" si="9"/>
        <v>10</v>
      </c>
      <c r="Z7" s="15">
        <f t="shared" si="10"/>
        <v>0</v>
      </c>
      <c r="AA7" s="16">
        <f t="shared" si="11"/>
        <v>55</v>
      </c>
      <c r="AB7" s="16" t="str">
        <f t="shared" si="12"/>
        <v>Amber</v>
      </c>
    </row>
    <row r="8" spans="1:28" ht="17.25" thickBot="1" x14ac:dyDescent="0.35">
      <c r="A8" t="s">
        <v>5</v>
      </c>
      <c r="C8" s="1">
        <v>4</v>
      </c>
      <c r="D8" s="1">
        <v>0</v>
      </c>
      <c r="E8" s="1">
        <v>0</v>
      </c>
      <c r="F8" s="1">
        <v>0</v>
      </c>
      <c r="G8" s="1">
        <v>0</v>
      </c>
      <c r="H8" s="1">
        <v>4</v>
      </c>
      <c r="I8" s="1">
        <v>4</v>
      </c>
      <c r="J8" s="1">
        <v>5</v>
      </c>
      <c r="K8" s="1">
        <v>1</v>
      </c>
      <c r="L8" s="1">
        <v>0</v>
      </c>
      <c r="M8" s="1">
        <v>10</v>
      </c>
      <c r="N8" s="1">
        <v>133000</v>
      </c>
      <c r="O8" s="1">
        <v>7</v>
      </c>
      <c r="P8" s="13">
        <f t="shared" si="0"/>
        <v>8</v>
      </c>
      <c r="Q8" s="14">
        <f t="shared" si="1"/>
        <v>2</v>
      </c>
      <c r="R8" s="14">
        <f t="shared" si="2"/>
        <v>0</v>
      </c>
      <c r="S8" s="14">
        <f t="shared" si="3"/>
        <v>2.5</v>
      </c>
      <c r="T8" s="15">
        <f t="shared" si="4"/>
        <v>15</v>
      </c>
      <c r="U8" s="15">
        <f t="shared" si="5"/>
        <v>10</v>
      </c>
      <c r="V8" s="15">
        <f t="shared" si="6"/>
        <v>20</v>
      </c>
      <c r="W8" s="15">
        <f t="shared" si="7"/>
        <v>0</v>
      </c>
      <c r="X8" s="15">
        <f t="shared" si="8"/>
        <v>0</v>
      </c>
      <c r="Y8" s="15">
        <f t="shared" si="9"/>
        <v>10</v>
      </c>
      <c r="Z8" s="15">
        <f t="shared" si="10"/>
        <v>0</v>
      </c>
      <c r="AA8" s="16">
        <f t="shared" si="11"/>
        <v>55</v>
      </c>
      <c r="AB8" s="16" t="str">
        <f t="shared" si="12"/>
        <v>Amber</v>
      </c>
    </row>
    <row r="9" spans="1:28" ht="17.25" thickBot="1" x14ac:dyDescent="0.35">
      <c r="A9" t="s">
        <v>66</v>
      </c>
      <c r="C9" s="1">
        <v>4</v>
      </c>
      <c r="D9" s="1">
        <v>0</v>
      </c>
      <c r="E9" s="1">
        <v>0</v>
      </c>
      <c r="F9" s="1">
        <v>0</v>
      </c>
      <c r="G9" s="1">
        <v>0</v>
      </c>
      <c r="H9" s="1">
        <v>2</v>
      </c>
      <c r="I9" s="1">
        <v>6</v>
      </c>
      <c r="J9" s="1">
        <v>1</v>
      </c>
      <c r="K9" s="1">
        <v>6</v>
      </c>
      <c r="L9" s="1">
        <v>0</v>
      </c>
      <c r="M9" s="1">
        <v>8</v>
      </c>
      <c r="N9" s="1">
        <v>520000</v>
      </c>
      <c r="O9" s="1">
        <v>6</v>
      </c>
      <c r="P9" s="13">
        <f t="shared" si="0"/>
        <v>8</v>
      </c>
      <c r="Q9" s="14">
        <f t="shared" si="1"/>
        <v>2</v>
      </c>
      <c r="R9" s="14">
        <f t="shared" si="2"/>
        <v>0</v>
      </c>
      <c r="S9" s="14">
        <f t="shared" si="3"/>
        <v>2</v>
      </c>
      <c r="T9" s="15">
        <f t="shared" si="4"/>
        <v>15</v>
      </c>
      <c r="U9" s="15">
        <f t="shared" si="5"/>
        <v>10</v>
      </c>
      <c r="V9" s="15">
        <f t="shared" si="6"/>
        <v>20</v>
      </c>
      <c r="W9" s="15">
        <f t="shared" si="7"/>
        <v>0</v>
      </c>
      <c r="X9" s="15">
        <f t="shared" si="8"/>
        <v>0</v>
      </c>
      <c r="Y9" s="15">
        <f t="shared" si="9"/>
        <v>10</v>
      </c>
      <c r="Z9" s="15">
        <f t="shared" si="10"/>
        <v>0</v>
      </c>
      <c r="AA9" s="16">
        <f t="shared" si="11"/>
        <v>55</v>
      </c>
      <c r="AB9" s="16" t="str">
        <f t="shared" si="12"/>
        <v>Amber</v>
      </c>
    </row>
    <row r="10" spans="1:28" ht="17.25" thickBot="1" x14ac:dyDescent="0.35">
      <c r="A10" t="s">
        <v>13</v>
      </c>
      <c r="C10" s="1">
        <v>4</v>
      </c>
      <c r="D10" s="1">
        <v>0</v>
      </c>
      <c r="E10" s="1">
        <v>0</v>
      </c>
      <c r="F10" s="1">
        <v>0</v>
      </c>
      <c r="G10" s="1">
        <v>0</v>
      </c>
      <c r="H10" s="1">
        <v>6</v>
      </c>
      <c r="I10" s="1">
        <v>1</v>
      </c>
      <c r="J10" s="1">
        <v>14</v>
      </c>
      <c r="K10" s="1">
        <v>10</v>
      </c>
      <c r="L10" s="1">
        <v>2</v>
      </c>
      <c r="M10" s="1">
        <v>6</v>
      </c>
      <c r="N10" s="1">
        <v>3132300</v>
      </c>
      <c r="O10" s="1">
        <v>0</v>
      </c>
      <c r="P10" s="13">
        <f t="shared" si="0"/>
        <v>7</v>
      </c>
      <c r="Q10" s="14">
        <f t="shared" si="1"/>
        <v>1.75</v>
      </c>
      <c r="R10" s="14">
        <f t="shared" si="2"/>
        <v>0.5</v>
      </c>
      <c r="S10" s="14">
        <f t="shared" si="3"/>
        <v>1.5</v>
      </c>
      <c r="T10" s="15">
        <f t="shared" si="4"/>
        <v>15</v>
      </c>
      <c r="U10" s="15">
        <f t="shared" si="5"/>
        <v>10</v>
      </c>
      <c r="V10" s="15">
        <f t="shared" si="6"/>
        <v>20</v>
      </c>
      <c r="W10" s="15">
        <f t="shared" si="7"/>
        <v>0</v>
      </c>
      <c r="X10" s="15">
        <f t="shared" si="8"/>
        <v>15</v>
      </c>
      <c r="Y10" s="15">
        <f t="shared" si="9"/>
        <v>5</v>
      </c>
      <c r="Z10" s="15">
        <f t="shared" si="10"/>
        <v>0</v>
      </c>
      <c r="AA10" s="16">
        <f t="shared" si="11"/>
        <v>65</v>
      </c>
      <c r="AB10" s="16" t="str">
        <f t="shared" si="12"/>
        <v>Amber</v>
      </c>
    </row>
    <row r="11" spans="1:28" ht="17.25" thickBot="1" x14ac:dyDescent="0.35">
      <c r="A11" t="s">
        <v>68</v>
      </c>
      <c r="C11" s="2">
        <v>4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5</v>
      </c>
      <c r="J11" s="2">
        <v>6</v>
      </c>
      <c r="K11" s="2">
        <v>4</v>
      </c>
      <c r="L11" s="2">
        <v>1</v>
      </c>
      <c r="M11" s="2">
        <v>10</v>
      </c>
      <c r="N11" s="2">
        <v>660000</v>
      </c>
      <c r="O11" s="2">
        <v>5</v>
      </c>
      <c r="P11" s="13">
        <f t="shared" si="0"/>
        <v>7</v>
      </c>
      <c r="Q11" s="14">
        <f t="shared" si="1"/>
        <v>1.75</v>
      </c>
      <c r="R11" s="14">
        <f t="shared" si="2"/>
        <v>0.25</v>
      </c>
      <c r="S11" s="14">
        <f t="shared" si="3"/>
        <v>2.5</v>
      </c>
      <c r="T11" s="15">
        <f t="shared" si="4"/>
        <v>15</v>
      </c>
      <c r="U11" s="15">
        <f t="shared" si="5"/>
        <v>10</v>
      </c>
      <c r="V11" s="15">
        <f t="shared" si="6"/>
        <v>20</v>
      </c>
      <c r="W11" s="15">
        <f t="shared" si="7"/>
        <v>0</v>
      </c>
      <c r="X11" s="15">
        <f t="shared" si="8"/>
        <v>10</v>
      </c>
      <c r="Y11" s="15">
        <f t="shared" si="9"/>
        <v>10</v>
      </c>
      <c r="Z11" s="15">
        <f t="shared" si="10"/>
        <v>0</v>
      </c>
      <c r="AA11" s="16">
        <f t="shared" si="11"/>
        <v>65</v>
      </c>
      <c r="AB11" s="16" t="str">
        <f t="shared" si="12"/>
        <v>Amber</v>
      </c>
    </row>
    <row r="12" spans="1:28" ht="17.25" thickBot="1" x14ac:dyDescent="0.35">
      <c r="A12" t="s">
        <v>19</v>
      </c>
      <c r="C12" s="1">
        <v>4</v>
      </c>
      <c r="D12" s="1">
        <v>0</v>
      </c>
      <c r="E12" s="1">
        <v>0</v>
      </c>
      <c r="F12" s="1">
        <v>0</v>
      </c>
      <c r="G12" s="1">
        <v>0</v>
      </c>
      <c r="H12" s="1">
        <v>4</v>
      </c>
      <c r="I12" s="1">
        <v>3</v>
      </c>
      <c r="J12" s="1">
        <v>0</v>
      </c>
      <c r="K12" s="1">
        <v>2</v>
      </c>
      <c r="L12" s="1">
        <v>0</v>
      </c>
      <c r="M12" s="1">
        <v>9</v>
      </c>
      <c r="N12" s="1">
        <v>788000</v>
      </c>
      <c r="O12" s="27">
        <v>9</v>
      </c>
      <c r="P12" s="13">
        <f t="shared" si="0"/>
        <v>7</v>
      </c>
      <c r="Q12" s="14">
        <f t="shared" si="1"/>
        <v>1.75</v>
      </c>
      <c r="R12" s="14">
        <f t="shared" si="2"/>
        <v>0</v>
      </c>
      <c r="S12" s="14">
        <f t="shared" si="3"/>
        <v>2.25</v>
      </c>
      <c r="T12" s="15">
        <f t="shared" si="4"/>
        <v>15</v>
      </c>
      <c r="U12" s="15">
        <f t="shared" si="5"/>
        <v>10</v>
      </c>
      <c r="V12" s="15">
        <f t="shared" si="6"/>
        <v>20</v>
      </c>
      <c r="W12" s="15">
        <f t="shared" si="7"/>
        <v>0</v>
      </c>
      <c r="X12" s="15">
        <f t="shared" si="8"/>
        <v>0</v>
      </c>
      <c r="Y12" s="15">
        <f t="shared" si="9"/>
        <v>10</v>
      </c>
      <c r="Z12" s="15">
        <f t="shared" si="10"/>
        <v>0</v>
      </c>
      <c r="AA12" s="16">
        <f t="shared" si="11"/>
        <v>55</v>
      </c>
      <c r="AB12" s="16" t="str">
        <f t="shared" si="12"/>
        <v>Amber</v>
      </c>
    </row>
    <row r="13" spans="1:28" ht="17.25" thickBot="1" x14ac:dyDescent="0.35">
      <c r="A13" t="s">
        <v>9</v>
      </c>
      <c r="C13" s="1">
        <v>4</v>
      </c>
      <c r="D13" s="1">
        <v>0</v>
      </c>
      <c r="E13" s="1">
        <v>0</v>
      </c>
      <c r="F13" s="1">
        <v>0</v>
      </c>
      <c r="G13" s="1">
        <v>0</v>
      </c>
      <c r="H13" s="1">
        <v>3</v>
      </c>
      <c r="I13" s="1">
        <v>4</v>
      </c>
      <c r="J13" s="1">
        <v>9</v>
      </c>
      <c r="K13" s="1">
        <v>4</v>
      </c>
      <c r="L13" s="1">
        <v>0</v>
      </c>
      <c r="M13" s="1">
        <v>7</v>
      </c>
      <c r="N13" s="1">
        <v>610000</v>
      </c>
      <c r="O13" s="1">
        <v>3</v>
      </c>
      <c r="P13" s="13">
        <f t="shared" si="0"/>
        <v>7</v>
      </c>
      <c r="Q13" s="14">
        <f t="shared" si="1"/>
        <v>1.75</v>
      </c>
      <c r="R13" s="14">
        <f t="shared" si="2"/>
        <v>0</v>
      </c>
      <c r="S13" s="14">
        <f t="shared" si="3"/>
        <v>1.75</v>
      </c>
      <c r="T13" s="15">
        <f t="shared" si="4"/>
        <v>15</v>
      </c>
      <c r="U13" s="15">
        <f t="shared" si="5"/>
        <v>10</v>
      </c>
      <c r="V13" s="15">
        <f t="shared" si="6"/>
        <v>20</v>
      </c>
      <c r="W13" s="15">
        <f t="shared" si="7"/>
        <v>0</v>
      </c>
      <c r="X13" s="15">
        <f t="shared" si="8"/>
        <v>0</v>
      </c>
      <c r="Y13" s="15">
        <f t="shared" si="9"/>
        <v>5</v>
      </c>
      <c r="Z13" s="15">
        <f t="shared" si="10"/>
        <v>0</v>
      </c>
      <c r="AA13" s="16">
        <f t="shared" si="11"/>
        <v>50</v>
      </c>
      <c r="AB13" s="16" t="str">
        <f t="shared" si="12"/>
        <v>Amber</v>
      </c>
    </row>
    <row r="14" spans="1:28" ht="17.25" thickBot="1" x14ac:dyDescent="0.35">
      <c r="A14" t="s">
        <v>2</v>
      </c>
      <c r="C14" s="1">
        <v>4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5</v>
      </c>
      <c r="J14" s="1">
        <v>2</v>
      </c>
      <c r="K14" s="1">
        <v>0</v>
      </c>
      <c r="L14" s="1">
        <v>2</v>
      </c>
      <c r="M14" s="1">
        <v>7</v>
      </c>
      <c r="N14" s="27">
        <v>4900000</v>
      </c>
      <c r="O14" s="1">
        <v>0</v>
      </c>
      <c r="P14" s="13">
        <f t="shared" si="0"/>
        <v>6</v>
      </c>
      <c r="Q14" s="14">
        <f t="shared" si="1"/>
        <v>1.5</v>
      </c>
      <c r="R14" s="14">
        <f t="shared" si="2"/>
        <v>0.5</v>
      </c>
      <c r="S14" s="14">
        <f t="shared" si="3"/>
        <v>1.75</v>
      </c>
      <c r="T14" s="15">
        <f t="shared" si="4"/>
        <v>15</v>
      </c>
      <c r="U14" s="15">
        <f t="shared" si="5"/>
        <v>10</v>
      </c>
      <c r="V14" s="15">
        <f t="shared" si="6"/>
        <v>20</v>
      </c>
      <c r="W14" s="15">
        <f t="shared" si="7"/>
        <v>0</v>
      </c>
      <c r="X14" s="15">
        <f t="shared" si="8"/>
        <v>15</v>
      </c>
      <c r="Y14" s="15">
        <f t="shared" si="9"/>
        <v>5</v>
      </c>
      <c r="Z14" s="15">
        <f t="shared" si="10"/>
        <v>0</v>
      </c>
      <c r="AA14" s="16">
        <f t="shared" si="11"/>
        <v>65</v>
      </c>
      <c r="AB14" s="16" t="str">
        <f t="shared" si="12"/>
        <v>Amber</v>
      </c>
    </row>
    <row r="15" spans="1:28" ht="17.25" thickBot="1" x14ac:dyDescent="0.35">
      <c r="A15" t="s">
        <v>72</v>
      </c>
      <c r="C15" s="2">
        <v>3</v>
      </c>
      <c r="D15" s="2">
        <v>1</v>
      </c>
      <c r="E15" s="2">
        <v>0</v>
      </c>
      <c r="F15" s="2">
        <v>0</v>
      </c>
      <c r="G15" s="2">
        <v>0</v>
      </c>
      <c r="H15" s="2">
        <v>3</v>
      </c>
      <c r="I15" s="2">
        <v>3</v>
      </c>
      <c r="J15" s="2">
        <v>1</v>
      </c>
      <c r="K15" s="2">
        <v>0</v>
      </c>
      <c r="L15" s="2">
        <v>1</v>
      </c>
      <c r="M15" s="2">
        <v>1</v>
      </c>
      <c r="N15" s="27">
        <v>6090000</v>
      </c>
      <c r="O15" s="2">
        <v>3</v>
      </c>
      <c r="P15" s="13">
        <f t="shared" si="0"/>
        <v>6</v>
      </c>
      <c r="Q15" s="14">
        <f t="shared" si="1"/>
        <v>1.5</v>
      </c>
      <c r="R15" s="14">
        <f t="shared" si="2"/>
        <v>0.25</v>
      </c>
      <c r="S15" s="14">
        <f t="shared" si="3"/>
        <v>0.25</v>
      </c>
      <c r="T15" s="15">
        <f t="shared" si="4"/>
        <v>10</v>
      </c>
      <c r="U15" s="15">
        <f t="shared" si="5"/>
        <v>10</v>
      </c>
      <c r="V15" s="15">
        <f t="shared" si="6"/>
        <v>20</v>
      </c>
      <c r="W15" s="15">
        <f t="shared" si="7"/>
        <v>0</v>
      </c>
      <c r="X15" s="15">
        <f t="shared" si="8"/>
        <v>10</v>
      </c>
      <c r="Y15" s="15">
        <f t="shared" si="9"/>
        <v>0</v>
      </c>
      <c r="Z15" s="15">
        <f t="shared" si="10"/>
        <v>0</v>
      </c>
      <c r="AA15" s="16">
        <f t="shared" si="11"/>
        <v>50</v>
      </c>
      <c r="AB15" s="16" t="str">
        <f t="shared" si="12"/>
        <v>Amber</v>
      </c>
    </row>
    <row r="16" spans="1:28" ht="17.25" thickBot="1" x14ac:dyDescent="0.35">
      <c r="A16" t="s">
        <v>31</v>
      </c>
      <c r="C16" s="3">
        <v>4</v>
      </c>
      <c r="D16" s="3">
        <v>0</v>
      </c>
      <c r="E16" s="3">
        <v>0</v>
      </c>
      <c r="F16" s="3">
        <v>0</v>
      </c>
      <c r="G16" s="3">
        <v>0</v>
      </c>
      <c r="H16" s="3">
        <v>4</v>
      </c>
      <c r="I16" s="3">
        <v>2</v>
      </c>
      <c r="J16" s="3">
        <v>6</v>
      </c>
      <c r="K16" s="3">
        <v>10</v>
      </c>
      <c r="L16" s="3">
        <v>1</v>
      </c>
      <c r="M16" s="3">
        <v>0</v>
      </c>
      <c r="N16" s="3">
        <v>3900000</v>
      </c>
      <c r="O16" s="27">
        <v>9</v>
      </c>
      <c r="P16" s="13">
        <f t="shared" si="0"/>
        <v>6</v>
      </c>
      <c r="Q16" s="14">
        <f t="shared" si="1"/>
        <v>1.5</v>
      </c>
      <c r="R16" s="14">
        <f t="shared" si="2"/>
        <v>0.25</v>
      </c>
      <c r="S16" s="14">
        <f t="shared" si="3"/>
        <v>0</v>
      </c>
      <c r="T16" s="15">
        <f t="shared" si="4"/>
        <v>15</v>
      </c>
      <c r="U16" s="15">
        <f t="shared" si="5"/>
        <v>10</v>
      </c>
      <c r="V16" s="15">
        <f t="shared" si="6"/>
        <v>20</v>
      </c>
      <c r="W16" s="15">
        <f t="shared" si="7"/>
        <v>0</v>
      </c>
      <c r="X16" s="15">
        <f t="shared" si="8"/>
        <v>10</v>
      </c>
      <c r="Y16" s="15">
        <f t="shared" si="9"/>
        <v>0</v>
      </c>
      <c r="Z16" s="15">
        <f t="shared" si="10"/>
        <v>0</v>
      </c>
      <c r="AA16" s="16">
        <f t="shared" si="11"/>
        <v>55</v>
      </c>
      <c r="AB16" s="16" t="str">
        <f t="shared" si="12"/>
        <v>Amber</v>
      </c>
    </row>
    <row r="17" spans="1:28" ht="17.25" thickBot="1" x14ac:dyDescent="0.35">
      <c r="A17" t="s">
        <v>8</v>
      </c>
      <c r="C17" s="2">
        <v>4</v>
      </c>
      <c r="D17" s="2">
        <v>0</v>
      </c>
      <c r="E17" s="2">
        <v>0</v>
      </c>
      <c r="F17" s="2">
        <v>0</v>
      </c>
      <c r="G17" s="2">
        <v>0</v>
      </c>
      <c r="H17" s="2">
        <v>5</v>
      </c>
      <c r="I17" s="2">
        <v>1</v>
      </c>
      <c r="J17" s="2">
        <v>1</v>
      </c>
      <c r="K17" s="2">
        <v>3</v>
      </c>
      <c r="L17" s="2">
        <v>0</v>
      </c>
      <c r="M17" s="2">
        <v>8</v>
      </c>
      <c r="N17" s="2">
        <v>4280000</v>
      </c>
      <c r="O17" s="2">
        <v>0</v>
      </c>
      <c r="P17" s="13">
        <f t="shared" si="0"/>
        <v>6</v>
      </c>
      <c r="Q17" s="14">
        <f t="shared" si="1"/>
        <v>1.5</v>
      </c>
      <c r="R17" s="14">
        <f t="shared" si="2"/>
        <v>0</v>
      </c>
      <c r="S17" s="14">
        <f t="shared" si="3"/>
        <v>2</v>
      </c>
      <c r="T17" s="15">
        <f t="shared" si="4"/>
        <v>15</v>
      </c>
      <c r="U17" s="15">
        <f t="shared" si="5"/>
        <v>10</v>
      </c>
      <c r="V17" s="15">
        <f t="shared" si="6"/>
        <v>20</v>
      </c>
      <c r="W17" s="15">
        <f t="shared" si="7"/>
        <v>0</v>
      </c>
      <c r="X17" s="15">
        <f t="shared" si="8"/>
        <v>0</v>
      </c>
      <c r="Y17" s="15">
        <f t="shared" si="9"/>
        <v>10</v>
      </c>
      <c r="Z17" s="15">
        <f t="shared" si="10"/>
        <v>0</v>
      </c>
      <c r="AA17" s="16">
        <f t="shared" si="11"/>
        <v>55</v>
      </c>
      <c r="AB17" s="16" t="str">
        <f t="shared" si="12"/>
        <v>Amber</v>
      </c>
    </row>
    <row r="18" spans="1:28" ht="17.25" thickBot="1" x14ac:dyDescent="0.35">
      <c r="A18" t="s">
        <v>1</v>
      </c>
      <c r="C18" s="1">
        <v>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6</v>
      </c>
      <c r="J18" s="1">
        <v>1</v>
      </c>
      <c r="K18" s="1">
        <v>0</v>
      </c>
      <c r="L18" s="1">
        <v>0</v>
      </c>
      <c r="M18" s="1">
        <v>4</v>
      </c>
      <c r="N18" s="1">
        <v>513000</v>
      </c>
      <c r="O18" s="1">
        <v>4</v>
      </c>
      <c r="P18" s="13">
        <f t="shared" si="0"/>
        <v>6</v>
      </c>
      <c r="Q18" s="14">
        <f t="shared" si="1"/>
        <v>1.5</v>
      </c>
      <c r="R18" s="14">
        <f t="shared" si="2"/>
        <v>0</v>
      </c>
      <c r="S18" s="14">
        <f t="shared" si="3"/>
        <v>1</v>
      </c>
      <c r="T18" s="15">
        <f t="shared" si="4"/>
        <v>15</v>
      </c>
      <c r="U18" s="15">
        <f t="shared" si="5"/>
        <v>10</v>
      </c>
      <c r="V18" s="15">
        <f t="shared" si="6"/>
        <v>20</v>
      </c>
      <c r="W18" s="15">
        <f t="shared" si="7"/>
        <v>0</v>
      </c>
      <c r="X18" s="15">
        <f t="shared" si="8"/>
        <v>0</v>
      </c>
      <c r="Y18" s="15">
        <f t="shared" si="9"/>
        <v>5</v>
      </c>
      <c r="Z18" s="15">
        <f t="shared" si="10"/>
        <v>0</v>
      </c>
      <c r="AA18" s="16">
        <f t="shared" si="11"/>
        <v>50</v>
      </c>
      <c r="AB18" s="16" t="str">
        <f t="shared" si="12"/>
        <v>Amber</v>
      </c>
    </row>
    <row r="19" spans="1:28" ht="17.25" thickBot="1" x14ac:dyDescent="0.35">
      <c r="A19" t="s">
        <v>4</v>
      </c>
      <c r="C19" s="2">
        <v>4</v>
      </c>
      <c r="D19" s="2">
        <v>0</v>
      </c>
      <c r="E19" s="2">
        <v>0</v>
      </c>
      <c r="F19" s="2">
        <v>0</v>
      </c>
      <c r="G19" s="2">
        <v>0</v>
      </c>
      <c r="H19" s="2">
        <v>3</v>
      </c>
      <c r="I19" s="2">
        <v>2</v>
      </c>
      <c r="J19" s="2">
        <v>0</v>
      </c>
      <c r="K19" s="2">
        <v>2</v>
      </c>
      <c r="L19" s="27">
        <v>3</v>
      </c>
      <c r="M19" s="27">
        <v>18</v>
      </c>
      <c r="N19" s="2">
        <v>410000</v>
      </c>
      <c r="O19" s="27">
        <v>9</v>
      </c>
      <c r="P19" s="13">
        <f t="shared" si="0"/>
        <v>5</v>
      </c>
      <c r="Q19" s="14">
        <f t="shared" si="1"/>
        <v>1.25</v>
      </c>
      <c r="R19" s="14">
        <f t="shared" si="2"/>
        <v>0.75</v>
      </c>
      <c r="S19" s="14">
        <f t="shared" si="3"/>
        <v>4.5</v>
      </c>
      <c r="T19" s="15">
        <f t="shared" si="4"/>
        <v>15</v>
      </c>
      <c r="U19" s="15">
        <f t="shared" si="5"/>
        <v>10</v>
      </c>
      <c r="V19" s="15">
        <f t="shared" si="6"/>
        <v>20</v>
      </c>
      <c r="W19" s="15">
        <f t="shared" si="7"/>
        <v>0</v>
      </c>
      <c r="X19" s="15">
        <f t="shared" si="8"/>
        <v>20</v>
      </c>
      <c r="Y19" s="15">
        <f t="shared" si="9"/>
        <v>10</v>
      </c>
      <c r="Z19" s="15">
        <f t="shared" si="10"/>
        <v>0</v>
      </c>
      <c r="AA19" s="16">
        <f t="shared" si="11"/>
        <v>75</v>
      </c>
      <c r="AB19" s="16" t="str">
        <f t="shared" si="12"/>
        <v>Green</v>
      </c>
    </row>
    <row r="20" spans="1:28" ht="17.25" thickBot="1" x14ac:dyDescent="0.35">
      <c r="A20" t="s">
        <v>24</v>
      </c>
      <c r="C20" s="2">
        <v>4</v>
      </c>
      <c r="D20" s="2">
        <v>0</v>
      </c>
      <c r="E20" s="2">
        <v>0</v>
      </c>
      <c r="F20" s="2">
        <v>0</v>
      </c>
      <c r="G20" s="2">
        <v>0</v>
      </c>
      <c r="H20" s="2">
        <v>5</v>
      </c>
      <c r="I20" s="2">
        <v>0</v>
      </c>
      <c r="J20" s="2">
        <v>5</v>
      </c>
      <c r="K20" s="2">
        <v>2</v>
      </c>
      <c r="L20" s="2">
        <v>2</v>
      </c>
      <c r="M20" s="2">
        <v>5</v>
      </c>
      <c r="N20" s="2">
        <v>480000</v>
      </c>
      <c r="O20" s="2">
        <v>0</v>
      </c>
      <c r="P20" s="13">
        <f t="shared" si="0"/>
        <v>5</v>
      </c>
      <c r="Q20" s="14">
        <f t="shared" si="1"/>
        <v>1.25</v>
      </c>
      <c r="R20" s="14">
        <f t="shared" si="2"/>
        <v>0.5</v>
      </c>
      <c r="S20" s="14">
        <f t="shared" si="3"/>
        <v>1.25</v>
      </c>
      <c r="T20" s="15">
        <f t="shared" si="4"/>
        <v>15</v>
      </c>
      <c r="U20" s="15">
        <f t="shared" si="5"/>
        <v>10</v>
      </c>
      <c r="V20" s="15">
        <f t="shared" si="6"/>
        <v>20</v>
      </c>
      <c r="W20" s="15">
        <f t="shared" si="7"/>
        <v>0</v>
      </c>
      <c r="X20" s="15">
        <f t="shared" si="8"/>
        <v>15</v>
      </c>
      <c r="Y20" s="15">
        <f t="shared" si="9"/>
        <v>5</v>
      </c>
      <c r="Z20" s="15">
        <f t="shared" si="10"/>
        <v>0</v>
      </c>
      <c r="AA20" s="16">
        <f t="shared" si="11"/>
        <v>65</v>
      </c>
      <c r="AB20" s="16" t="str">
        <f t="shared" si="12"/>
        <v>Amber</v>
      </c>
    </row>
    <row r="21" spans="1:28" ht="17.25" thickBot="1" x14ac:dyDescent="0.35">
      <c r="A21" t="s">
        <v>17</v>
      </c>
      <c r="C21" s="2">
        <v>4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3</v>
      </c>
      <c r="J21" s="2">
        <v>0</v>
      </c>
      <c r="K21" s="2">
        <v>1</v>
      </c>
      <c r="L21" s="2">
        <v>1</v>
      </c>
      <c r="M21" s="2">
        <v>9</v>
      </c>
      <c r="N21" s="2">
        <v>3300000</v>
      </c>
      <c r="O21" s="2">
        <v>8</v>
      </c>
      <c r="P21" s="13">
        <f t="shared" si="0"/>
        <v>5</v>
      </c>
      <c r="Q21" s="14">
        <f t="shared" si="1"/>
        <v>1.25</v>
      </c>
      <c r="R21" s="14">
        <f t="shared" si="2"/>
        <v>0.25</v>
      </c>
      <c r="S21" s="14">
        <f t="shared" si="3"/>
        <v>2.25</v>
      </c>
      <c r="T21" s="15">
        <f t="shared" si="4"/>
        <v>15</v>
      </c>
      <c r="U21" s="15">
        <f t="shared" si="5"/>
        <v>10</v>
      </c>
      <c r="V21" s="15">
        <f t="shared" si="6"/>
        <v>20</v>
      </c>
      <c r="W21" s="15">
        <f t="shared" si="7"/>
        <v>0</v>
      </c>
      <c r="X21" s="15">
        <f t="shared" si="8"/>
        <v>10</v>
      </c>
      <c r="Y21" s="15">
        <f t="shared" si="9"/>
        <v>10</v>
      </c>
      <c r="Z21" s="15">
        <f t="shared" si="10"/>
        <v>0</v>
      </c>
      <c r="AA21" s="16">
        <f t="shared" si="11"/>
        <v>65</v>
      </c>
      <c r="AB21" s="16" t="str">
        <f t="shared" si="12"/>
        <v>Amber</v>
      </c>
    </row>
    <row r="22" spans="1:28" ht="17.25" thickBot="1" x14ac:dyDescent="0.35">
      <c r="A22" t="s">
        <v>7</v>
      </c>
      <c r="C22" s="1">
        <v>4</v>
      </c>
      <c r="D22" s="1">
        <v>0</v>
      </c>
      <c r="E22" s="1">
        <v>0</v>
      </c>
      <c r="F22" s="1">
        <v>0</v>
      </c>
      <c r="G22" s="1">
        <v>0</v>
      </c>
      <c r="H22" s="1">
        <v>5</v>
      </c>
      <c r="I22" s="1">
        <v>0</v>
      </c>
      <c r="J22" s="1">
        <v>0</v>
      </c>
      <c r="K22" s="1">
        <v>1</v>
      </c>
      <c r="L22" s="1">
        <v>1</v>
      </c>
      <c r="M22" s="1">
        <v>5</v>
      </c>
      <c r="N22" s="1">
        <v>430000</v>
      </c>
      <c r="O22" s="27">
        <v>9</v>
      </c>
      <c r="P22" s="13">
        <f t="shared" si="0"/>
        <v>5</v>
      </c>
      <c r="Q22" s="14">
        <f t="shared" si="1"/>
        <v>1.25</v>
      </c>
      <c r="R22" s="14">
        <f t="shared" si="2"/>
        <v>0.25</v>
      </c>
      <c r="S22" s="14">
        <f t="shared" si="3"/>
        <v>1.25</v>
      </c>
      <c r="T22" s="15">
        <f t="shared" si="4"/>
        <v>15</v>
      </c>
      <c r="U22" s="15">
        <f t="shared" si="5"/>
        <v>10</v>
      </c>
      <c r="V22" s="15">
        <f t="shared" si="6"/>
        <v>20</v>
      </c>
      <c r="W22" s="15">
        <f t="shared" si="7"/>
        <v>0</v>
      </c>
      <c r="X22" s="15">
        <f t="shared" si="8"/>
        <v>10</v>
      </c>
      <c r="Y22" s="15">
        <f t="shared" si="9"/>
        <v>5</v>
      </c>
      <c r="Z22" s="15">
        <f t="shared" si="10"/>
        <v>0</v>
      </c>
      <c r="AA22" s="16">
        <f t="shared" si="11"/>
        <v>60</v>
      </c>
      <c r="AB22" s="16" t="str">
        <f t="shared" si="12"/>
        <v>Amber</v>
      </c>
    </row>
    <row r="23" spans="1:28" ht="17.25" thickBot="1" x14ac:dyDescent="0.35">
      <c r="A23" t="s">
        <v>6</v>
      </c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4</v>
      </c>
      <c r="J23" s="1">
        <v>3</v>
      </c>
      <c r="K23" s="1">
        <v>8</v>
      </c>
      <c r="L23" s="1">
        <v>0</v>
      </c>
      <c r="M23" s="1">
        <v>9</v>
      </c>
      <c r="N23" s="1">
        <v>711300</v>
      </c>
      <c r="O23" s="1">
        <v>2</v>
      </c>
      <c r="P23" s="13">
        <f t="shared" si="0"/>
        <v>4</v>
      </c>
      <c r="Q23" s="14">
        <f t="shared" si="1"/>
        <v>1</v>
      </c>
      <c r="R23" s="14">
        <f t="shared" si="2"/>
        <v>0</v>
      </c>
      <c r="S23" s="14">
        <f t="shared" si="3"/>
        <v>2.25</v>
      </c>
      <c r="T23" s="15">
        <f t="shared" si="4"/>
        <v>15</v>
      </c>
      <c r="U23" s="15">
        <f t="shared" si="5"/>
        <v>10</v>
      </c>
      <c r="V23" s="15">
        <f t="shared" si="6"/>
        <v>15</v>
      </c>
      <c r="W23" s="15">
        <f t="shared" si="7"/>
        <v>0</v>
      </c>
      <c r="X23" s="15">
        <f t="shared" si="8"/>
        <v>0</v>
      </c>
      <c r="Y23" s="15">
        <f t="shared" si="9"/>
        <v>10</v>
      </c>
      <c r="Z23" s="15">
        <f t="shared" si="10"/>
        <v>0</v>
      </c>
      <c r="AA23" s="16">
        <f t="shared" si="11"/>
        <v>50</v>
      </c>
      <c r="AB23" s="16" t="str">
        <f t="shared" si="12"/>
        <v>Amber</v>
      </c>
    </row>
    <row r="24" spans="1:28" ht="17.25" thickBot="1" x14ac:dyDescent="0.35">
      <c r="A24" t="s">
        <v>64</v>
      </c>
      <c r="C24" s="2">
        <v>4</v>
      </c>
      <c r="D24" s="2">
        <v>0</v>
      </c>
      <c r="E24" s="2">
        <v>0</v>
      </c>
      <c r="F24" s="2">
        <v>0</v>
      </c>
      <c r="G24" s="2">
        <v>0</v>
      </c>
      <c r="H24" s="2">
        <v>2</v>
      </c>
      <c r="I24" s="2">
        <v>2</v>
      </c>
      <c r="J24" s="2">
        <v>1</v>
      </c>
      <c r="K24" s="2">
        <v>7</v>
      </c>
      <c r="L24" s="2">
        <v>0</v>
      </c>
      <c r="M24" s="2">
        <v>7</v>
      </c>
      <c r="N24" s="2">
        <v>2680000</v>
      </c>
      <c r="O24" s="2">
        <v>5</v>
      </c>
      <c r="P24" s="13">
        <f t="shared" si="0"/>
        <v>4</v>
      </c>
      <c r="Q24" s="14">
        <f t="shared" si="1"/>
        <v>1</v>
      </c>
      <c r="R24" s="14">
        <f t="shared" si="2"/>
        <v>0</v>
      </c>
      <c r="S24" s="14">
        <f t="shared" si="3"/>
        <v>1.75</v>
      </c>
      <c r="T24" s="15">
        <f t="shared" si="4"/>
        <v>15</v>
      </c>
      <c r="U24" s="15">
        <f t="shared" si="5"/>
        <v>10</v>
      </c>
      <c r="V24" s="15">
        <f t="shared" si="6"/>
        <v>15</v>
      </c>
      <c r="W24" s="15">
        <f t="shared" si="7"/>
        <v>0</v>
      </c>
      <c r="X24" s="15">
        <f t="shared" si="8"/>
        <v>0</v>
      </c>
      <c r="Y24" s="15">
        <f t="shared" si="9"/>
        <v>5</v>
      </c>
      <c r="Z24" s="15">
        <f t="shared" si="10"/>
        <v>0</v>
      </c>
      <c r="AA24" s="16">
        <f t="shared" si="11"/>
        <v>45</v>
      </c>
      <c r="AB24" s="16" t="str">
        <f t="shared" si="12"/>
        <v>Red</v>
      </c>
    </row>
    <row r="25" spans="1:28" ht="17.25" thickBot="1" x14ac:dyDescent="0.35">
      <c r="A25" t="s">
        <v>15</v>
      </c>
      <c r="C25" s="2">
        <v>3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4</v>
      </c>
      <c r="J25" s="2">
        <v>1</v>
      </c>
      <c r="K25" s="2">
        <v>1</v>
      </c>
      <c r="L25" s="2">
        <v>0</v>
      </c>
      <c r="M25" s="2">
        <v>6</v>
      </c>
      <c r="N25" s="2">
        <v>1053100</v>
      </c>
      <c r="O25" s="2">
        <v>0</v>
      </c>
      <c r="P25" s="13">
        <f t="shared" si="0"/>
        <v>4</v>
      </c>
      <c r="Q25" s="14">
        <f t="shared" si="1"/>
        <v>1</v>
      </c>
      <c r="R25" s="14">
        <f t="shared" si="2"/>
        <v>0</v>
      </c>
      <c r="S25" s="14">
        <f t="shared" si="3"/>
        <v>1.5</v>
      </c>
      <c r="T25" s="15">
        <f t="shared" si="4"/>
        <v>15</v>
      </c>
      <c r="U25" s="15">
        <f t="shared" si="5"/>
        <v>10</v>
      </c>
      <c r="V25" s="15">
        <f t="shared" si="6"/>
        <v>15</v>
      </c>
      <c r="W25" s="15">
        <f t="shared" si="7"/>
        <v>0</v>
      </c>
      <c r="X25" s="15">
        <f t="shared" si="8"/>
        <v>0</v>
      </c>
      <c r="Y25" s="15">
        <f t="shared" si="9"/>
        <v>5</v>
      </c>
      <c r="Z25" s="15">
        <f t="shared" si="10"/>
        <v>0</v>
      </c>
      <c r="AA25" s="16">
        <f t="shared" si="11"/>
        <v>45</v>
      </c>
      <c r="AB25" s="16" t="str">
        <f t="shared" si="12"/>
        <v>Red</v>
      </c>
    </row>
    <row r="26" spans="1:28" ht="17.25" thickBot="1" x14ac:dyDescent="0.35">
      <c r="A26" t="s">
        <v>22</v>
      </c>
      <c r="C26" s="2">
        <v>4</v>
      </c>
      <c r="D26" s="2">
        <v>0</v>
      </c>
      <c r="E26" s="2">
        <v>0</v>
      </c>
      <c r="F26" s="2">
        <v>0</v>
      </c>
      <c r="G26" s="2">
        <v>0</v>
      </c>
      <c r="H26" s="2">
        <v>3</v>
      </c>
      <c r="I26" s="2">
        <v>1</v>
      </c>
      <c r="J26" s="2">
        <v>0</v>
      </c>
      <c r="K26" s="2">
        <v>2</v>
      </c>
      <c r="L26" s="2">
        <v>0</v>
      </c>
      <c r="M26" s="2">
        <v>6</v>
      </c>
      <c r="N26" s="2">
        <v>230000</v>
      </c>
      <c r="O26" s="2">
        <v>2</v>
      </c>
      <c r="P26" s="13">
        <f t="shared" si="0"/>
        <v>4</v>
      </c>
      <c r="Q26" s="14">
        <f t="shared" si="1"/>
        <v>1</v>
      </c>
      <c r="R26" s="14">
        <f t="shared" si="2"/>
        <v>0</v>
      </c>
      <c r="S26" s="14">
        <f t="shared" si="3"/>
        <v>1.5</v>
      </c>
      <c r="T26" s="15">
        <f t="shared" si="4"/>
        <v>15</v>
      </c>
      <c r="U26" s="15">
        <f t="shared" si="5"/>
        <v>10</v>
      </c>
      <c r="V26" s="15">
        <f t="shared" si="6"/>
        <v>15</v>
      </c>
      <c r="W26" s="15">
        <f t="shared" si="7"/>
        <v>0</v>
      </c>
      <c r="X26" s="15">
        <f t="shared" si="8"/>
        <v>0</v>
      </c>
      <c r="Y26" s="15">
        <f t="shared" si="9"/>
        <v>5</v>
      </c>
      <c r="Z26" s="15">
        <f t="shared" si="10"/>
        <v>0</v>
      </c>
      <c r="AA26" s="16">
        <f t="shared" si="11"/>
        <v>45</v>
      </c>
      <c r="AB26" s="16" t="str">
        <f t="shared" si="12"/>
        <v>Red</v>
      </c>
    </row>
    <row r="27" spans="1:28" ht="17.25" thickBot="1" x14ac:dyDescent="0.35">
      <c r="A27" t="s">
        <v>23</v>
      </c>
      <c r="C27" s="1">
        <v>4</v>
      </c>
      <c r="D27" s="1">
        <v>0</v>
      </c>
      <c r="E27" s="1">
        <v>0</v>
      </c>
      <c r="F27" s="1">
        <v>0</v>
      </c>
      <c r="G27" s="1">
        <v>0</v>
      </c>
      <c r="H27" s="1">
        <v>2</v>
      </c>
      <c r="I27" s="1">
        <v>2</v>
      </c>
      <c r="J27" s="1">
        <v>11</v>
      </c>
      <c r="K27" s="1">
        <v>5</v>
      </c>
      <c r="L27" s="1">
        <v>0</v>
      </c>
      <c r="M27" s="1">
        <v>5</v>
      </c>
      <c r="N27" s="1">
        <v>779000</v>
      </c>
      <c r="O27" s="1">
        <v>7</v>
      </c>
      <c r="P27" s="13">
        <f t="shared" si="0"/>
        <v>4</v>
      </c>
      <c r="Q27" s="14">
        <f t="shared" si="1"/>
        <v>1</v>
      </c>
      <c r="R27" s="14">
        <f t="shared" si="2"/>
        <v>0</v>
      </c>
      <c r="S27" s="14">
        <f t="shared" si="3"/>
        <v>1.25</v>
      </c>
      <c r="T27" s="15">
        <f t="shared" si="4"/>
        <v>15</v>
      </c>
      <c r="U27" s="15">
        <f t="shared" si="5"/>
        <v>10</v>
      </c>
      <c r="V27" s="15">
        <f t="shared" si="6"/>
        <v>15</v>
      </c>
      <c r="W27" s="15">
        <f t="shared" si="7"/>
        <v>0</v>
      </c>
      <c r="X27" s="15">
        <f t="shared" si="8"/>
        <v>0</v>
      </c>
      <c r="Y27" s="15">
        <f t="shared" si="9"/>
        <v>5</v>
      </c>
      <c r="Z27" s="15">
        <f t="shared" si="10"/>
        <v>0</v>
      </c>
      <c r="AA27" s="16">
        <f t="shared" si="11"/>
        <v>45</v>
      </c>
      <c r="AB27" s="16" t="str">
        <f t="shared" si="12"/>
        <v>Red</v>
      </c>
    </row>
    <row r="28" spans="1:28" ht="17.25" thickBot="1" x14ac:dyDescent="0.35">
      <c r="A28" t="s">
        <v>30</v>
      </c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3</v>
      </c>
      <c r="J28" s="1">
        <v>1</v>
      </c>
      <c r="K28" s="1">
        <v>2</v>
      </c>
      <c r="L28" s="1">
        <v>0</v>
      </c>
      <c r="M28" s="1">
        <v>4</v>
      </c>
      <c r="N28" s="1">
        <v>244000</v>
      </c>
      <c r="O28" s="1">
        <v>0</v>
      </c>
      <c r="P28" s="13">
        <f t="shared" si="0"/>
        <v>4</v>
      </c>
      <c r="Q28" s="14">
        <f t="shared" si="1"/>
        <v>1</v>
      </c>
      <c r="R28" s="14">
        <f t="shared" si="2"/>
        <v>0</v>
      </c>
      <c r="S28" s="14">
        <f t="shared" si="3"/>
        <v>1</v>
      </c>
      <c r="T28" s="15">
        <f t="shared" si="4"/>
        <v>15</v>
      </c>
      <c r="U28" s="15">
        <f t="shared" si="5"/>
        <v>10</v>
      </c>
      <c r="V28" s="15">
        <f t="shared" si="6"/>
        <v>15</v>
      </c>
      <c r="W28" s="15">
        <f t="shared" si="7"/>
        <v>0</v>
      </c>
      <c r="X28" s="15">
        <f t="shared" si="8"/>
        <v>0</v>
      </c>
      <c r="Y28" s="15">
        <f t="shared" si="9"/>
        <v>5</v>
      </c>
      <c r="Z28" s="15">
        <f t="shared" si="10"/>
        <v>0</v>
      </c>
      <c r="AA28" s="16">
        <f t="shared" si="11"/>
        <v>45</v>
      </c>
      <c r="AB28" s="16" t="str">
        <f t="shared" si="12"/>
        <v>Red</v>
      </c>
    </row>
    <row r="29" spans="1:28" ht="17.25" thickBot="1" x14ac:dyDescent="0.35">
      <c r="A29" t="s">
        <v>10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3</v>
      </c>
      <c r="I29" s="1">
        <v>0</v>
      </c>
      <c r="J29" s="1">
        <v>0</v>
      </c>
      <c r="K29" s="1">
        <v>0</v>
      </c>
      <c r="L29" s="27">
        <v>3</v>
      </c>
      <c r="M29" s="1">
        <v>6</v>
      </c>
      <c r="N29" s="1">
        <v>347000</v>
      </c>
      <c r="O29" s="1">
        <v>0</v>
      </c>
      <c r="P29" s="13">
        <f t="shared" si="0"/>
        <v>3</v>
      </c>
      <c r="Q29" s="14">
        <f t="shared" si="1"/>
        <v>0.75</v>
      </c>
      <c r="R29" s="14">
        <f t="shared" si="2"/>
        <v>0.75</v>
      </c>
      <c r="S29" s="14">
        <f t="shared" si="3"/>
        <v>1.5</v>
      </c>
      <c r="T29" s="15">
        <f t="shared" si="4"/>
        <v>15</v>
      </c>
      <c r="U29" s="15">
        <f t="shared" si="5"/>
        <v>10</v>
      </c>
      <c r="V29" s="15">
        <f t="shared" si="6"/>
        <v>10</v>
      </c>
      <c r="W29" s="15">
        <f t="shared" si="7"/>
        <v>0</v>
      </c>
      <c r="X29" s="15">
        <f t="shared" si="8"/>
        <v>20</v>
      </c>
      <c r="Y29" s="15">
        <f t="shared" si="9"/>
        <v>5</v>
      </c>
      <c r="Z29" s="15">
        <f t="shared" si="10"/>
        <v>0</v>
      </c>
      <c r="AA29" s="16">
        <f t="shared" si="11"/>
        <v>60</v>
      </c>
      <c r="AB29" s="16" t="str">
        <f t="shared" si="12"/>
        <v>Amber</v>
      </c>
    </row>
    <row r="30" spans="1:28" ht="17.25" thickBot="1" x14ac:dyDescent="0.35">
      <c r="A30" t="s">
        <v>70</v>
      </c>
      <c r="C30" s="2">
        <v>4</v>
      </c>
      <c r="D30" s="2">
        <v>0</v>
      </c>
      <c r="E30" s="2">
        <v>0</v>
      </c>
      <c r="F30" s="2">
        <v>0</v>
      </c>
      <c r="G30" s="2">
        <v>0</v>
      </c>
      <c r="H30" s="2">
        <v>2</v>
      </c>
      <c r="I30" s="2">
        <v>1</v>
      </c>
      <c r="J30" s="2">
        <v>4</v>
      </c>
      <c r="K30" s="2">
        <v>2</v>
      </c>
      <c r="L30" s="2">
        <v>2</v>
      </c>
      <c r="M30" s="2">
        <v>9</v>
      </c>
      <c r="N30" s="2">
        <v>0</v>
      </c>
      <c r="O30" s="2">
        <v>7</v>
      </c>
      <c r="P30" s="13">
        <f t="shared" si="0"/>
        <v>3</v>
      </c>
      <c r="Q30" s="14">
        <f t="shared" si="1"/>
        <v>0.75</v>
      </c>
      <c r="R30" s="14">
        <f t="shared" si="2"/>
        <v>0.5</v>
      </c>
      <c r="S30" s="14">
        <f t="shared" si="3"/>
        <v>2.25</v>
      </c>
      <c r="T30" s="15">
        <f t="shared" si="4"/>
        <v>15</v>
      </c>
      <c r="U30" s="15">
        <f t="shared" si="5"/>
        <v>10</v>
      </c>
      <c r="V30" s="15">
        <f t="shared" si="6"/>
        <v>10</v>
      </c>
      <c r="W30" s="15">
        <f t="shared" si="7"/>
        <v>0</v>
      </c>
      <c r="X30" s="15">
        <f t="shared" si="8"/>
        <v>15</v>
      </c>
      <c r="Y30" s="15">
        <f t="shared" si="9"/>
        <v>10</v>
      </c>
      <c r="Z30" s="15">
        <f t="shared" si="10"/>
        <v>0</v>
      </c>
      <c r="AA30" s="16">
        <f t="shared" si="11"/>
        <v>60</v>
      </c>
      <c r="AB30" s="16" t="str">
        <f t="shared" si="12"/>
        <v>Amber</v>
      </c>
    </row>
    <row r="31" spans="1:28" ht="17.25" thickBot="1" x14ac:dyDescent="0.35">
      <c r="A31" t="s">
        <v>69</v>
      </c>
      <c r="C31" s="1">
        <v>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3</v>
      </c>
      <c r="J31" s="1">
        <v>0</v>
      </c>
      <c r="K31" s="1">
        <v>2</v>
      </c>
      <c r="L31" s="1">
        <v>0</v>
      </c>
      <c r="M31" s="1">
        <v>8</v>
      </c>
      <c r="N31" s="1">
        <v>0</v>
      </c>
      <c r="O31" s="1">
        <v>5</v>
      </c>
      <c r="P31" s="13">
        <f t="shared" si="0"/>
        <v>3</v>
      </c>
      <c r="Q31" s="14">
        <f t="shared" si="1"/>
        <v>0.75</v>
      </c>
      <c r="R31" s="14">
        <f t="shared" si="2"/>
        <v>0</v>
      </c>
      <c r="S31" s="14">
        <f t="shared" si="3"/>
        <v>2</v>
      </c>
      <c r="T31" s="15">
        <f t="shared" si="4"/>
        <v>15</v>
      </c>
      <c r="U31" s="15">
        <f t="shared" si="5"/>
        <v>10</v>
      </c>
      <c r="V31" s="15">
        <f t="shared" si="6"/>
        <v>10</v>
      </c>
      <c r="W31" s="15">
        <f t="shared" si="7"/>
        <v>0</v>
      </c>
      <c r="X31" s="15">
        <f t="shared" si="8"/>
        <v>0</v>
      </c>
      <c r="Y31" s="15">
        <f t="shared" si="9"/>
        <v>10</v>
      </c>
      <c r="Z31" s="15">
        <f t="shared" si="10"/>
        <v>0</v>
      </c>
      <c r="AA31" s="16">
        <f t="shared" si="11"/>
        <v>45</v>
      </c>
      <c r="AB31" s="16" t="str">
        <f t="shared" si="12"/>
        <v>Red</v>
      </c>
    </row>
    <row r="32" spans="1:28" ht="17.25" thickBot="1" x14ac:dyDescent="0.35">
      <c r="A32" t="s">
        <v>65</v>
      </c>
      <c r="C32" s="2">
        <v>4</v>
      </c>
      <c r="D32" s="2">
        <v>0</v>
      </c>
      <c r="E32" s="2">
        <v>0</v>
      </c>
      <c r="F32" s="2">
        <v>0</v>
      </c>
      <c r="G32" s="2">
        <v>0</v>
      </c>
      <c r="H32" s="2">
        <v>2</v>
      </c>
      <c r="I32" s="2">
        <v>1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13">
        <f t="shared" si="0"/>
        <v>3</v>
      </c>
      <c r="Q32" s="14">
        <f t="shared" si="1"/>
        <v>0.75</v>
      </c>
      <c r="R32" s="14">
        <f t="shared" si="2"/>
        <v>0</v>
      </c>
      <c r="S32" s="14">
        <f t="shared" si="3"/>
        <v>0</v>
      </c>
      <c r="T32" s="15">
        <f t="shared" si="4"/>
        <v>15</v>
      </c>
      <c r="U32" s="15">
        <f t="shared" si="5"/>
        <v>10</v>
      </c>
      <c r="V32" s="15">
        <f t="shared" si="6"/>
        <v>10</v>
      </c>
      <c r="W32" s="15">
        <f t="shared" si="7"/>
        <v>0</v>
      </c>
      <c r="X32" s="15">
        <f t="shared" si="8"/>
        <v>0</v>
      </c>
      <c r="Y32" s="15">
        <f t="shared" si="9"/>
        <v>0</v>
      </c>
      <c r="Z32" s="15">
        <f t="shared" si="10"/>
        <v>0</v>
      </c>
      <c r="AA32" s="16">
        <f t="shared" si="11"/>
        <v>35</v>
      </c>
      <c r="AB32" s="16" t="str">
        <f t="shared" si="12"/>
        <v>Red</v>
      </c>
    </row>
    <row r="33" spans="1:28" ht="17.25" thickBot="1" x14ac:dyDescent="0.35">
      <c r="A33" t="s">
        <v>67</v>
      </c>
      <c r="C33" s="2">
        <v>4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5</v>
      </c>
      <c r="K33" s="2">
        <v>35</v>
      </c>
      <c r="L33" s="2">
        <v>0</v>
      </c>
      <c r="M33" s="2">
        <v>8</v>
      </c>
      <c r="N33" s="2">
        <v>2650000</v>
      </c>
      <c r="O33" s="2">
        <v>7</v>
      </c>
      <c r="P33" s="13">
        <f t="shared" si="0"/>
        <v>1</v>
      </c>
      <c r="Q33" s="14">
        <f t="shared" si="1"/>
        <v>0.25</v>
      </c>
      <c r="R33" s="14">
        <f t="shared" si="2"/>
        <v>0</v>
      </c>
      <c r="S33" s="14">
        <f t="shared" si="3"/>
        <v>2</v>
      </c>
      <c r="T33" s="15">
        <f t="shared" si="4"/>
        <v>15</v>
      </c>
      <c r="U33" s="15">
        <f t="shared" si="5"/>
        <v>10</v>
      </c>
      <c r="V33" s="15">
        <f t="shared" si="6"/>
        <v>0</v>
      </c>
      <c r="W33" s="15">
        <f t="shared" si="7"/>
        <v>0</v>
      </c>
      <c r="X33" s="15">
        <f t="shared" si="8"/>
        <v>0</v>
      </c>
      <c r="Y33" s="15">
        <f t="shared" si="9"/>
        <v>10</v>
      </c>
      <c r="Z33" s="15">
        <f t="shared" si="10"/>
        <v>0</v>
      </c>
      <c r="AA33" s="16">
        <f t="shared" si="11"/>
        <v>35</v>
      </c>
      <c r="AB33" s="16" t="str">
        <f t="shared" si="12"/>
        <v>Red</v>
      </c>
    </row>
    <row r="34" spans="1:28" ht="17.25" thickBot="1" x14ac:dyDescent="0.35">
      <c r="A34" t="s">
        <v>12</v>
      </c>
      <c r="C34" s="2">
        <v>3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2</v>
      </c>
      <c r="K34" s="2">
        <v>1</v>
      </c>
      <c r="L34" s="2">
        <v>0</v>
      </c>
      <c r="M34" s="2">
        <v>5</v>
      </c>
      <c r="N34" s="2">
        <v>30000</v>
      </c>
      <c r="O34" s="2">
        <v>0</v>
      </c>
      <c r="P34" s="13">
        <f t="shared" si="0"/>
        <v>1</v>
      </c>
      <c r="Q34" s="14">
        <f t="shared" si="1"/>
        <v>0.25</v>
      </c>
      <c r="R34" s="14">
        <f t="shared" si="2"/>
        <v>0</v>
      </c>
      <c r="S34" s="14">
        <f t="shared" si="3"/>
        <v>1.25</v>
      </c>
      <c r="T34" s="15">
        <f t="shared" si="4"/>
        <v>15</v>
      </c>
      <c r="U34" s="15">
        <f t="shared" si="5"/>
        <v>10</v>
      </c>
      <c r="V34" s="15">
        <f t="shared" si="6"/>
        <v>0</v>
      </c>
      <c r="W34" s="15">
        <f t="shared" si="7"/>
        <v>0</v>
      </c>
      <c r="X34" s="15">
        <f t="shared" si="8"/>
        <v>0</v>
      </c>
      <c r="Y34" s="15">
        <f t="shared" si="9"/>
        <v>5</v>
      </c>
      <c r="Z34" s="15">
        <f t="shared" si="10"/>
        <v>0</v>
      </c>
      <c r="AA34" s="16">
        <f t="shared" si="11"/>
        <v>30</v>
      </c>
      <c r="AB34" s="16" t="str">
        <f t="shared" si="12"/>
        <v>Red</v>
      </c>
    </row>
    <row r="35" spans="1:28" ht="17.25" thickBot="1" x14ac:dyDescent="0.35">
      <c r="A35" t="s">
        <v>32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3">
        <f t="shared" si="0"/>
        <v>0</v>
      </c>
      <c r="Q35" s="14">
        <f t="shared" si="1"/>
        <v>0</v>
      </c>
      <c r="R35" s="14">
        <f t="shared" si="2"/>
        <v>0</v>
      </c>
      <c r="S35" s="14">
        <f t="shared" si="3"/>
        <v>0</v>
      </c>
      <c r="T35" s="15">
        <f t="shared" si="4"/>
        <v>15</v>
      </c>
      <c r="U35" s="15">
        <f t="shared" si="5"/>
        <v>10</v>
      </c>
      <c r="V35" s="15">
        <f t="shared" si="6"/>
        <v>0</v>
      </c>
      <c r="W35" s="15">
        <f t="shared" si="7"/>
        <v>0</v>
      </c>
      <c r="X35" s="15">
        <f t="shared" si="8"/>
        <v>0</v>
      </c>
      <c r="Y35" s="15">
        <f t="shared" si="9"/>
        <v>0</v>
      </c>
      <c r="Z35" s="15">
        <f t="shared" si="10"/>
        <v>0</v>
      </c>
      <c r="AA35" s="16">
        <f t="shared" si="11"/>
        <v>25</v>
      </c>
      <c r="AB35" s="16" t="str">
        <f t="shared" si="12"/>
        <v>Grey</v>
      </c>
    </row>
  </sheetData>
  <phoneticPr fontId="5" type="noConversion"/>
  <conditionalFormatting sqref="AA3:AA35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D242-FBD1-4A32-95DC-1BE881438A33}">
  <dimension ref="A1:AB35"/>
  <sheetViews>
    <sheetView workbookViewId="0">
      <selection sqref="A1:XFD1048576"/>
    </sheetView>
  </sheetViews>
  <sheetFormatPr defaultRowHeight="16.5" x14ac:dyDescent="0.3"/>
  <cols>
    <col min="1" max="1" width="10.75" customWidth="1"/>
    <col min="2" max="2" width="6.375" customWidth="1"/>
    <col min="3" max="13" width="4.875" customWidth="1"/>
    <col min="15" max="15" width="4.875" customWidth="1"/>
    <col min="16" max="26" width="5.125" customWidth="1"/>
  </cols>
  <sheetData>
    <row r="1" spans="1:28" x14ac:dyDescent="0.3">
      <c r="A1" s="17" t="s">
        <v>61</v>
      </c>
      <c r="B1" s="17"/>
    </row>
    <row r="2" spans="1:28" ht="132.75" x14ac:dyDescent="0.3">
      <c r="A2" s="4" t="s">
        <v>33</v>
      </c>
      <c r="B2" s="4"/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6" t="s">
        <v>45</v>
      </c>
      <c r="O2" s="7" t="s">
        <v>46</v>
      </c>
      <c r="P2" s="8" t="s">
        <v>47</v>
      </c>
      <c r="Q2" s="8" t="s">
        <v>48</v>
      </c>
      <c r="R2" s="9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 t="s">
        <v>56</v>
      </c>
      <c r="Z2" s="10" t="s">
        <v>57</v>
      </c>
      <c r="AA2" s="11" t="s">
        <v>58</v>
      </c>
      <c r="AB2" s="12" t="s">
        <v>59</v>
      </c>
    </row>
    <row r="3" spans="1:28" ht="17.25" thickBot="1" x14ac:dyDescent="0.35">
      <c r="A3" t="s">
        <v>13</v>
      </c>
      <c r="C3" s="1">
        <v>3</v>
      </c>
      <c r="D3" s="1">
        <v>0</v>
      </c>
      <c r="E3" s="1">
        <v>0</v>
      </c>
      <c r="F3" s="1">
        <v>1</v>
      </c>
      <c r="G3" s="1">
        <v>0</v>
      </c>
      <c r="H3" s="1">
        <v>9</v>
      </c>
      <c r="I3" s="1">
        <v>4</v>
      </c>
      <c r="J3" s="1">
        <v>15</v>
      </c>
      <c r="K3" s="1">
        <v>8</v>
      </c>
      <c r="L3" s="1">
        <v>1</v>
      </c>
      <c r="M3" s="1">
        <v>9</v>
      </c>
      <c r="N3" s="1">
        <v>9594000</v>
      </c>
      <c r="O3" s="1">
        <v>10</v>
      </c>
      <c r="P3" s="26">
        <f t="shared" ref="P3:P35" si="0">H3+I3</f>
        <v>13</v>
      </c>
      <c r="Q3" s="14">
        <f t="shared" ref="Q3:Q35" si="1">P3/(C3+D3+E3+F3+G3)</f>
        <v>3.25</v>
      </c>
      <c r="R3" s="14">
        <f t="shared" ref="R3:R35" si="2">L3/(C3+D3+E3+F3+G3)</f>
        <v>0.25</v>
      </c>
      <c r="S3" s="14">
        <f t="shared" ref="S3:S35" si="3">M3/(C3+D3+E3+F3+G3)</f>
        <v>2.25</v>
      </c>
      <c r="T3" s="15">
        <f t="shared" ref="T3:T35" si="4">IF(D3&gt;2,0,IF(D3=2,5,IF(D3=1,10,IF(D3&lt;1,15))))</f>
        <v>15</v>
      </c>
      <c r="U3" s="15">
        <f t="shared" ref="U3:U35" si="5">IF(E3&gt;=2,0,IF(E3=1,5,IF(E3=0,10)))</f>
        <v>10</v>
      </c>
      <c r="V3" s="15">
        <f t="shared" ref="V3:V35" si="6">IF(Q3&lt;0.5,0,IF(Q3&lt;0.75,5,IF(Q3&lt;1,10,IF(Q3&lt;1.2,15,IF(Q3&gt;=1.2,20)))))</f>
        <v>20</v>
      </c>
      <c r="W3" s="15">
        <f t="shared" ref="W3:W35" si="7">IF(N3&lt;25000000,0,IF(N3&lt;50000000,5,IF(N3&lt;100000000,10,IF(N3&gt;=100000000,15))))</f>
        <v>0</v>
      </c>
      <c r="X3" s="15">
        <f t="shared" ref="X3:X35" si="8">IF(R3&lt;0.1,0,IF(R3&lt;0.2,5,IF(R3&lt;0.4,10,IF(R3&lt;0.6,15,IF(R3&gt;=0.6,20)))))</f>
        <v>10</v>
      </c>
      <c r="Y3" s="15">
        <f t="shared" ref="Y3:Y35" si="9">IF(S3&lt;1,0,IF(S3&lt;2,5,IF(S3&gt;=2,10)))</f>
        <v>10</v>
      </c>
      <c r="Z3" s="15">
        <f t="shared" ref="Z3:Z35" si="10">IF(O3&lt;10,0,IF(O3&lt;20,5,IF(O3&gt;=20,10)))</f>
        <v>5</v>
      </c>
      <c r="AA3" s="16">
        <f t="shared" ref="AA3:AA35" si="11">SUM(T3:Z3)</f>
        <v>70</v>
      </c>
      <c r="AB3" s="16" t="str">
        <f t="shared" ref="AB3:AB35" si="12">IF(AA3&lt;30,"Grey",IF(AA3&lt;50,"Red",IF(AA3&lt;70,"Amber",IF(AA3&gt;=70,"Green"))))</f>
        <v>Green</v>
      </c>
    </row>
    <row r="4" spans="1:28" ht="17.25" thickBot="1" x14ac:dyDescent="0.35">
      <c r="A4" t="s">
        <v>71</v>
      </c>
      <c r="C4" s="1">
        <v>3</v>
      </c>
      <c r="D4" s="1">
        <v>0</v>
      </c>
      <c r="E4" s="1">
        <v>0</v>
      </c>
      <c r="F4" s="1">
        <v>1</v>
      </c>
      <c r="G4" s="1">
        <v>0</v>
      </c>
      <c r="H4" s="1">
        <v>5</v>
      </c>
      <c r="I4" s="1">
        <v>7</v>
      </c>
      <c r="J4" s="1">
        <v>2</v>
      </c>
      <c r="K4" s="1">
        <v>3</v>
      </c>
      <c r="L4" s="27">
        <v>2</v>
      </c>
      <c r="M4" s="1">
        <v>6</v>
      </c>
      <c r="N4" s="27">
        <v>48151300</v>
      </c>
      <c r="O4" s="1">
        <v>10</v>
      </c>
      <c r="P4" s="13">
        <f t="shared" si="0"/>
        <v>12</v>
      </c>
      <c r="Q4" s="14">
        <f t="shared" si="1"/>
        <v>3</v>
      </c>
      <c r="R4" s="14">
        <f t="shared" si="2"/>
        <v>0.5</v>
      </c>
      <c r="S4" s="14">
        <f t="shared" si="3"/>
        <v>1.5</v>
      </c>
      <c r="T4" s="15">
        <f t="shared" si="4"/>
        <v>15</v>
      </c>
      <c r="U4" s="15">
        <f t="shared" si="5"/>
        <v>10</v>
      </c>
      <c r="V4" s="15">
        <f t="shared" si="6"/>
        <v>20</v>
      </c>
      <c r="W4" s="15">
        <f t="shared" si="7"/>
        <v>5</v>
      </c>
      <c r="X4" s="15">
        <f t="shared" si="8"/>
        <v>15</v>
      </c>
      <c r="Y4" s="15">
        <f t="shared" si="9"/>
        <v>5</v>
      </c>
      <c r="Z4" s="15">
        <f t="shared" si="10"/>
        <v>5</v>
      </c>
      <c r="AA4" s="16">
        <f t="shared" si="11"/>
        <v>75</v>
      </c>
      <c r="AB4" s="16" t="str">
        <f t="shared" si="12"/>
        <v>Green</v>
      </c>
    </row>
    <row r="5" spans="1:28" ht="17.25" thickBot="1" x14ac:dyDescent="0.35">
      <c r="A5" t="s">
        <v>21</v>
      </c>
      <c r="C5" s="1">
        <v>2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>
        <v>10</v>
      </c>
      <c r="J5" s="1">
        <v>0</v>
      </c>
      <c r="K5" s="1">
        <v>1</v>
      </c>
      <c r="L5" s="1">
        <v>1</v>
      </c>
      <c r="M5" s="1">
        <v>8</v>
      </c>
      <c r="N5" s="1">
        <v>3180000</v>
      </c>
      <c r="O5" s="1">
        <v>4</v>
      </c>
      <c r="P5" s="13">
        <f t="shared" si="0"/>
        <v>11</v>
      </c>
      <c r="Q5" s="14">
        <f t="shared" si="1"/>
        <v>2.75</v>
      </c>
      <c r="R5" s="14">
        <f t="shared" si="2"/>
        <v>0.25</v>
      </c>
      <c r="S5" s="14">
        <f t="shared" si="3"/>
        <v>2</v>
      </c>
      <c r="T5" s="15">
        <f t="shared" si="4"/>
        <v>10</v>
      </c>
      <c r="U5" s="15">
        <f t="shared" si="5"/>
        <v>5</v>
      </c>
      <c r="V5" s="15">
        <f t="shared" si="6"/>
        <v>20</v>
      </c>
      <c r="W5" s="15">
        <f t="shared" si="7"/>
        <v>0</v>
      </c>
      <c r="X5" s="15">
        <f t="shared" si="8"/>
        <v>10</v>
      </c>
      <c r="Y5" s="15">
        <f t="shared" si="9"/>
        <v>10</v>
      </c>
      <c r="Z5" s="15">
        <f t="shared" si="10"/>
        <v>0</v>
      </c>
      <c r="AA5" s="16">
        <f t="shared" si="11"/>
        <v>55</v>
      </c>
      <c r="AB5" s="16" t="str">
        <f t="shared" si="12"/>
        <v>Amber</v>
      </c>
    </row>
    <row r="6" spans="1:28" ht="17.25" thickBot="1" x14ac:dyDescent="0.35">
      <c r="A6" t="s">
        <v>66</v>
      </c>
      <c r="C6" s="1">
        <v>3</v>
      </c>
      <c r="D6" s="1">
        <v>0</v>
      </c>
      <c r="E6" s="1">
        <v>0</v>
      </c>
      <c r="F6" s="1">
        <v>1</v>
      </c>
      <c r="G6" s="1">
        <v>0</v>
      </c>
      <c r="H6" s="1">
        <v>6</v>
      </c>
      <c r="I6" s="1">
        <v>5</v>
      </c>
      <c r="J6" s="1">
        <v>4</v>
      </c>
      <c r="K6" s="1">
        <v>7</v>
      </c>
      <c r="L6" s="1">
        <v>1</v>
      </c>
      <c r="M6" s="1">
        <v>8</v>
      </c>
      <c r="N6" s="1">
        <v>770000</v>
      </c>
      <c r="O6" s="1">
        <v>5</v>
      </c>
      <c r="P6" s="13">
        <f t="shared" si="0"/>
        <v>11</v>
      </c>
      <c r="Q6" s="14">
        <f t="shared" si="1"/>
        <v>2.75</v>
      </c>
      <c r="R6" s="14">
        <f t="shared" si="2"/>
        <v>0.25</v>
      </c>
      <c r="S6" s="14">
        <f t="shared" si="3"/>
        <v>2</v>
      </c>
      <c r="T6" s="15">
        <f t="shared" si="4"/>
        <v>15</v>
      </c>
      <c r="U6" s="15">
        <f t="shared" si="5"/>
        <v>10</v>
      </c>
      <c r="V6" s="15">
        <f t="shared" si="6"/>
        <v>20</v>
      </c>
      <c r="W6" s="15">
        <f t="shared" si="7"/>
        <v>0</v>
      </c>
      <c r="X6" s="15">
        <f t="shared" si="8"/>
        <v>10</v>
      </c>
      <c r="Y6" s="15">
        <f t="shared" si="9"/>
        <v>10</v>
      </c>
      <c r="Z6" s="15">
        <f t="shared" si="10"/>
        <v>0</v>
      </c>
      <c r="AA6" s="16">
        <f t="shared" si="11"/>
        <v>65</v>
      </c>
      <c r="AB6" s="16" t="str">
        <f t="shared" si="12"/>
        <v>Amber</v>
      </c>
    </row>
    <row r="7" spans="1:28" ht="17.25" thickBot="1" x14ac:dyDescent="0.35">
      <c r="A7" t="s">
        <v>30</v>
      </c>
      <c r="C7" s="1">
        <v>4</v>
      </c>
      <c r="D7" s="1">
        <v>0</v>
      </c>
      <c r="E7" s="1">
        <v>0</v>
      </c>
      <c r="F7" s="1">
        <v>0</v>
      </c>
      <c r="G7" s="1">
        <v>0</v>
      </c>
      <c r="H7" s="1">
        <v>3</v>
      </c>
      <c r="I7" s="1">
        <v>7</v>
      </c>
      <c r="J7" s="1">
        <v>1</v>
      </c>
      <c r="K7" s="1">
        <v>7</v>
      </c>
      <c r="L7" s="1">
        <v>0</v>
      </c>
      <c r="M7" s="1">
        <v>12</v>
      </c>
      <c r="N7" s="1">
        <v>350000</v>
      </c>
      <c r="O7" s="1">
        <v>15</v>
      </c>
      <c r="P7" s="13">
        <f t="shared" si="0"/>
        <v>10</v>
      </c>
      <c r="Q7" s="14">
        <f t="shared" si="1"/>
        <v>2.5</v>
      </c>
      <c r="R7" s="14">
        <f t="shared" si="2"/>
        <v>0</v>
      </c>
      <c r="S7" s="14">
        <f t="shared" si="3"/>
        <v>3</v>
      </c>
      <c r="T7" s="15">
        <f t="shared" si="4"/>
        <v>15</v>
      </c>
      <c r="U7" s="15">
        <f t="shared" si="5"/>
        <v>10</v>
      </c>
      <c r="V7" s="15">
        <f t="shared" si="6"/>
        <v>20</v>
      </c>
      <c r="W7" s="15">
        <f t="shared" si="7"/>
        <v>0</v>
      </c>
      <c r="X7" s="15">
        <f t="shared" si="8"/>
        <v>0</v>
      </c>
      <c r="Y7" s="15">
        <f t="shared" si="9"/>
        <v>10</v>
      </c>
      <c r="Z7" s="15">
        <f t="shared" si="10"/>
        <v>5</v>
      </c>
      <c r="AA7" s="16">
        <f t="shared" si="11"/>
        <v>60</v>
      </c>
      <c r="AB7" s="16" t="str">
        <f t="shared" si="12"/>
        <v>Amber</v>
      </c>
    </row>
    <row r="8" spans="1:28" ht="17.25" thickBot="1" x14ac:dyDescent="0.35">
      <c r="A8" t="s">
        <v>17</v>
      </c>
      <c r="C8" s="2">
        <v>4</v>
      </c>
      <c r="D8" s="2">
        <v>0</v>
      </c>
      <c r="E8" s="2">
        <v>0</v>
      </c>
      <c r="F8" s="2">
        <v>0</v>
      </c>
      <c r="G8" s="2">
        <v>0</v>
      </c>
      <c r="H8" s="2">
        <v>4</v>
      </c>
      <c r="I8" s="2">
        <v>6</v>
      </c>
      <c r="J8" s="2">
        <v>0</v>
      </c>
      <c r="K8" s="2">
        <v>0</v>
      </c>
      <c r="L8" s="2">
        <v>0</v>
      </c>
      <c r="M8" s="2">
        <v>8</v>
      </c>
      <c r="N8" s="2">
        <v>2680000</v>
      </c>
      <c r="O8" s="2">
        <v>5</v>
      </c>
      <c r="P8" s="13">
        <f t="shared" si="0"/>
        <v>10</v>
      </c>
      <c r="Q8" s="14">
        <f t="shared" si="1"/>
        <v>2.5</v>
      </c>
      <c r="R8" s="14">
        <f t="shared" si="2"/>
        <v>0</v>
      </c>
      <c r="S8" s="14">
        <f t="shared" si="3"/>
        <v>2</v>
      </c>
      <c r="T8" s="15">
        <f t="shared" si="4"/>
        <v>15</v>
      </c>
      <c r="U8" s="15">
        <f t="shared" si="5"/>
        <v>10</v>
      </c>
      <c r="V8" s="15">
        <f t="shared" si="6"/>
        <v>20</v>
      </c>
      <c r="W8" s="15">
        <f t="shared" si="7"/>
        <v>0</v>
      </c>
      <c r="X8" s="15">
        <f t="shared" si="8"/>
        <v>0</v>
      </c>
      <c r="Y8" s="15">
        <f t="shared" si="9"/>
        <v>10</v>
      </c>
      <c r="Z8" s="15">
        <f t="shared" si="10"/>
        <v>0</v>
      </c>
      <c r="AA8" s="16">
        <f t="shared" si="11"/>
        <v>55</v>
      </c>
      <c r="AB8" s="16" t="str">
        <f t="shared" si="12"/>
        <v>Amber</v>
      </c>
    </row>
    <row r="9" spans="1:28" ht="17.25" thickBot="1" x14ac:dyDescent="0.35">
      <c r="A9" t="s">
        <v>64</v>
      </c>
      <c r="C9" s="2">
        <v>4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7</v>
      </c>
      <c r="J9" s="2">
        <v>3</v>
      </c>
      <c r="K9" s="2">
        <v>8</v>
      </c>
      <c r="L9" s="2">
        <v>0</v>
      </c>
      <c r="M9" s="2">
        <v>10</v>
      </c>
      <c r="N9" s="27">
        <v>45350000</v>
      </c>
      <c r="O9" s="2">
        <v>11</v>
      </c>
      <c r="P9" s="13">
        <f t="shared" si="0"/>
        <v>9</v>
      </c>
      <c r="Q9" s="14">
        <f t="shared" si="1"/>
        <v>2.25</v>
      </c>
      <c r="R9" s="14">
        <f t="shared" si="2"/>
        <v>0</v>
      </c>
      <c r="S9" s="14">
        <f t="shared" si="3"/>
        <v>2.5</v>
      </c>
      <c r="T9" s="15">
        <f t="shared" si="4"/>
        <v>15</v>
      </c>
      <c r="U9" s="15">
        <f t="shared" si="5"/>
        <v>10</v>
      </c>
      <c r="V9" s="15">
        <f t="shared" si="6"/>
        <v>20</v>
      </c>
      <c r="W9" s="15">
        <f t="shared" si="7"/>
        <v>5</v>
      </c>
      <c r="X9" s="15">
        <f t="shared" si="8"/>
        <v>0</v>
      </c>
      <c r="Y9" s="15">
        <f t="shared" si="9"/>
        <v>10</v>
      </c>
      <c r="Z9" s="15">
        <f t="shared" si="10"/>
        <v>5</v>
      </c>
      <c r="AA9" s="16">
        <f t="shared" si="11"/>
        <v>65</v>
      </c>
      <c r="AB9" s="16" t="str">
        <f t="shared" si="12"/>
        <v>Amber</v>
      </c>
    </row>
    <row r="10" spans="1:28" ht="17.25" thickBot="1" x14ac:dyDescent="0.35">
      <c r="A10" t="s">
        <v>31</v>
      </c>
      <c r="C10" s="3">
        <v>4</v>
      </c>
      <c r="D10" s="3">
        <v>0</v>
      </c>
      <c r="E10" s="3">
        <v>0</v>
      </c>
      <c r="F10" s="3">
        <v>0</v>
      </c>
      <c r="G10" s="3">
        <v>0</v>
      </c>
      <c r="H10" s="3">
        <v>5</v>
      </c>
      <c r="I10" s="3">
        <v>4</v>
      </c>
      <c r="J10" s="3">
        <v>5</v>
      </c>
      <c r="K10" s="3">
        <v>8</v>
      </c>
      <c r="L10" s="3">
        <v>0</v>
      </c>
      <c r="M10" s="3">
        <v>6</v>
      </c>
      <c r="N10" s="3">
        <v>7687000</v>
      </c>
      <c r="O10" s="3">
        <v>7</v>
      </c>
      <c r="P10" s="13">
        <f t="shared" si="0"/>
        <v>9</v>
      </c>
      <c r="Q10" s="14">
        <f t="shared" si="1"/>
        <v>2.25</v>
      </c>
      <c r="R10" s="14">
        <f t="shared" si="2"/>
        <v>0</v>
      </c>
      <c r="S10" s="14">
        <f t="shared" si="3"/>
        <v>1.5</v>
      </c>
      <c r="T10" s="15">
        <f t="shared" si="4"/>
        <v>15</v>
      </c>
      <c r="U10" s="15">
        <f t="shared" si="5"/>
        <v>10</v>
      </c>
      <c r="V10" s="15">
        <f t="shared" si="6"/>
        <v>20</v>
      </c>
      <c r="W10" s="15">
        <f t="shared" si="7"/>
        <v>0</v>
      </c>
      <c r="X10" s="15">
        <f t="shared" si="8"/>
        <v>0</v>
      </c>
      <c r="Y10" s="15">
        <f t="shared" si="9"/>
        <v>5</v>
      </c>
      <c r="Z10" s="15">
        <f t="shared" si="10"/>
        <v>0</v>
      </c>
      <c r="AA10" s="16">
        <f t="shared" si="11"/>
        <v>50</v>
      </c>
      <c r="AB10" s="16" t="str">
        <f t="shared" si="12"/>
        <v>Amber</v>
      </c>
    </row>
    <row r="11" spans="1:28" ht="17.25" thickBot="1" x14ac:dyDescent="0.35">
      <c r="A11" t="s">
        <v>63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7</v>
      </c>
      <c r="J11" s="1">
        <v>2</v>
      </c>
      <c r="K11" s="1">
        <v>1</v>
      </c>
      <c r="L11" s="27">
        <v>2</v>
      </c>
      <c r="M11" s="27">
        <v>17</v>
      </c>
      <c r="N11" s="1">
        <v>3390000</v>
      </c>
      <c r="O11" s="1">
        <v>11</v>
      </c>
      <c r="P11" s="13">
        <f t="shared" si="0"/>
        <v>8</v>
      </c>
      <c r="Q11" s="14">
        <f t="shared" si="1"/>
        <v>2</v>
      </c>
      <c r="R11" s="14">
        <f t="shared" si="2"/>
        <v>0.5</v>
      </c>
      <c r="S11" s="14">
        <f t="shared" si="3"/>
        <v>4.25</v>
      </c>
      <c r="T11" s="15">
        <f t="shared" si="4"/>
        <v>15</v>
      </c>
      <c r="U11" s="15">
        <f t="shared" si="5"/>
        <v>10</v>
      </c>
      <c r="V11" s="15">
        <f t="shared" si="6"/>
        <v>20</v>
      </c>
      <c r="W11" s="15">
        <f t="shared" si="7"/>
        <v>0</v>
      </c>
      <c r="X11" s="15">
        <f t="shared" si="8"/>
        <v>15</v>
      </c>
      <c r="Y11" s="15">
        <f t="shared" si="9"/>
        <v>10</v>
      </c>
      <c r="Z11" s="15">
        <f t="shared" si="10"/>
        <v>5</v>
      </c>
      <c r="AA11" s="16">
        <f t="shared" si="11"/>
        <v>75</v>
      </c>
      <c r="AB11" s="16" t="str">
        <f t="shared" si="12"/>
        <v>Green</v>
      </c>
    </row>
    <row r="12" spans="1:28" ht="17.25" thickBot="1" x14ac:dyDescent="0.35">
      <c r="A12" t="s">
        <v>2</v>
      </c>
      <c r="C12" s="1">
        <v>4</v>
      </c>
      <c r="D12" s="1">
        <v>0</v>
      </c>
      <c r="E12" s="1">
        <v>0</v>
      </c>
      <c r="F12" s="1">
        <v>0</v>
      </c>
      <c r="G12" s="1">
        <v>0</v>
      </c>
      <c r="H12" s="1">
        <v>2</v>
      </c>
      <c r="I12" s="1">
        <v>6</v>
      </c>
      <c r="J12" s="1">
        <v>5</v>
      </c>
      <c r="K12" s="1">
        <v>7</v>
      </c>
      <c r="L12" s="1">
        <v>1</v>
      </c>
      <c r="M12" s="1">
        <v>6</v>
      </c>
      <c r="N12" s="27">
        <v>10100000</v>
      </c>
      <c r="O12" s="1">
        <v>0</v>
      </c>
      <c r="P12" s="13">
        <f t="shared" si="0"/>
        <v>8</v>
      </c>
      <c r="Q12" s="14">
        <f t="shared" si="1"/>
        <v>2</v>
      </c>
      <c r="R12" s="14">
        <f t="shared" si="2"/>
        <v>0.25</v>
      </c>
      <c r="S12" s="14">
        <f t="shared" si="3"/>
        <v>1.5</v>
      </c>
      <c r="T12" s="15">
        <f t="shared" si="4"/>
        <v>15</v>
      </c>
      <c r="U12" s="15">
        <f t="shared" si="5"/>
        <v>10</v>
      </c>
      <c r="V12" s="15">
        <f t="shared" si="6"/>
        <v>20</v>
      </c>
      <c r="W12" s="15">
        <f t="shared" si="7"/>
        <v>0</v>
      </c>
      <c r="X12" s="15">
        <f t="shared" si="8"/>
        <v>10</v>
      </c>
      <c r="Y12" s="15">
        <f t="shared" si="9"/>
        <v>5</v>
      </c>
      <c r="Z12" s="15">
        <f t="shared" si="10"/>
        <v>0</v>
      </c>
      <c r="AA12" s="16">
        <f t="shared" si="11"/>
        <v>60</v>
      </c>
      <c r="AB12" s="16" t="str">
        <f t="shared" si="12"/>
        <v>Amber</v>
      </c>
    </row>
    <row r="13" spans="1:28" ht="17.25" thickBot="1" x14ac:dyDescent="0.35">
      <c r="A13" t="s">
        <v>5</v>
      </c>
      <c r="C13" s="1">
        <v>4</v>
      </c>
      <c r="D13" s="1">
        <v>0</v>
      </c>
      <c r="E13" s="1">
        <v>0</v>
      </c>
      <c r="F13" s="1">
        <v>0</v>
      </c>
      <c r="G13" s="1">
        <v>0</v>
      </c>
      <c r="H13" s="1">
        <v>2</v>
      </c>
      <c r="I13" s="1">
        <v>6</v>
      </c>
      <c r="J13" s="1">
        <v>3</v>
      </c>
      <c r="K13" s="1">
        <v>3</v>
      </c>
      <c r="L13" s="1">
        <v>0</v>
      </c>
      <c r="M13" s="27">
        <v>16</v>
      </c>
      <c r="N13" s="1">
        <v>75000</v>
      </c>
      <c r="O13" s="1">
        <v>2</v>
      </c>
      <c r="P13" s="13">
        <f t="shared" si="0"/>
        <v>8</v>
      </c>
      <c r="Q13" s="14">
        <f t="shared" si="1"/>
        <v>2</v>
      </c>
      <c r="R13" s="14">
        <f t="shared" si="2"/>
        <v>0</v>
      </c>
      <c r="S13" s="14">
        <f t="shared" si="3"/>
        <v>4</v>
      </c>
      <c r="T13" s="15">
        <f t="shared" si="4"/>
        <v>15</v>
      </c>
      <c r="U13" s="15">
        <f t="shared" si="5"/>
        <v>10</v>
      </c>
      <c r="V13" s="15">
        <f t="shared" si="6"/>
        <v>20</v>
      </c>
      <c r="W13" s="15">
        <f t="shared" si="7"/>
        <v>0</v>
      </c>
      <c r="X13" s="15">
        <f t="shared" si="8"/>
        <v>0</v>
      </c>
      <c r="Y13" s="15">
        <f t="shared" si="9"/>
        <v>10</v>
      </c>
      <c r="Z13" s="15">
        <f t="shared" si="10"/>
        <v>0</v>
      </c>
      <c r="AA13" s="16">
        <f t="shared" si="11"/>
        <v>55</v>
      </c>
      <c r="AB13" s="16" t="str">
        <f t="shared" si="12"/>
        <v>Amber</v>
      </c>
    </row>
    <row r="14" spans="1:28" ht="17.25" thickBot="1" x14ac:dyDescent="0.35">
      <c r="A14" t="s">
        <v>4</v>
      </c>
      <c r="C14" s="2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6</v>
      </c>
      <c r="J14" s="2">
        <v>0</v>
      </c>
      <c r="K14" s="2">
        <v>1</v>
      </c>
      <c r="L14" s="2">
        <v>0</v>
      </c>
      <c r="M14" s="2">
        <v>12</v>
      </c>
      <c r="N14" s="2">
        <v>0</v>
      </c>
      <c r="O14" s="2">
        <v>10</v>
      </c>
      <c r="P14" s="13">
        <f t="shared" si="0"/>
        <v>8</v>
      </c>
      <c r="Q14" s="14">
        <f t="shared" si="1"/>
        <v>2</v>
      </c>
      <c r="R14" s="14">
        <f t="shared" si="2"/>
        <v>0</v>
      </c>
      <c r="S14" s="14">
        <f t="shared" si="3"/>
        <v>3</v>
      </c>
      <c r="T14" s="15">
        <f t="shared" si="4"/>
        <v>15</v>
      </c>
      <c r="U14" s="15">
        <f t="shared" si="5"/>
        <v>10</v>
      </c>
      <c r="V14" s="15">
        <f t="shared" si="6"/>
        <v>20</v>
      </c>
      <c r="W14" s="15">
        <f t="shared" si="7"/>
        <v>0</v>
      </c>
      <c r="X14" s="15">
        <f t="shared" si="8"/>
        <v>0</v>
      </c>
      <c r="Y14" s="15">
        <f t="shared" si="9"/>
        <v>10</v>
      </c>
      <c r="Z14" s="15">
        <f t="shared" si="10"/>
        <v>5</v>
      </c>
      <c r="AA14" s="16">
        <f t="shared" si="11"/>
        <v>60</v>
      </c>
      <c r="AB14" s="16" t="str">
        <f t="shared" si="12"/>
        <v>Amber</v>
      </c>
    </row>
    <row r="15" spans="1:28" ht="17.25" thickBot="1" x14ac:dyDescent="0.35">
      <c r="A15" t="s">
        <v>68</v>
      </c>
      <c r="C15" s="2">
        <v>4</v>
      </c>
      <c r="D15" s="2">
        <v>0</v>
      </c>
      <c r="E15" s="2">
        <v>0</v>
      </c>
      <c r="F15" s="2">
        <v>0</v>
      </c>
      <c r="G15" s="2">
        <v>0</v>
      </c>
      <c r="H15" s="2">
        <v>3</v>
      </c>
      <c r="I15" s="2">
        <v>5</v>
      </c>
      <c r="J15" s="2">
        <v>4</v>
      </c>
      <c r="K15" s="2">
        <v>3</v>
      </c>
      <c r="L15" s="2">
        <v>0</v>
      </c>
      <c r="M15" s="2">
        <v>11</v>
      </c>
      <c r="N15" s="2">
        <v>537000</v>
      </c>
      <c r="O15" s="2">
        <v>1</v>
      </c>
      <c r="P15" s="13">
        <f t="shared" si="0"/>
        <v>8</v>
      </c>
      <c r="Q15" s="14">
        <f t="shared" si="1"/>
        <v>2</v>
      </c>
      <c r="R15" s="14">
        <f t="shared" si="2"/>
        <v>0</v>
      </c>
      <c r="S15" s="14">
        <f t="shared" si="3"/>
        <v>2.75</v>
      </c>
      <c r="T15" s="15">
        <f t="shared" si="4"/>
        <v>15</v>
      </c>
      <c r="U15" s="15">
        <f t="shared" si="5"/>
        <v>10</v>
      </c>
      <c r="V15" s="15">
        <f t="shared" si="6"/>
        <v>20</v>
      </c>
      <c r="W15" s="15">
        <f t="shared" si="7"/>
        <v>0</v>
      </c>
      <c r="X15" s="15">
        <f t="shared" si="8"/>
        <v>0</v>
      </c>
      <c r="Y15" s="15">
        <f t="shared" si="9"/>
        <v>10</v>
      </c>
      <c r="Z15" s="15">
        <f t="shared" si="10"/>
        <v>0</v>
      </c>
      <c r="AA15" s="16">
        <f t="shared" si="11"/>
        <v>55</v>
      </c>
      <c r="AB15" s="16" t="str">
        <f t="shared" si="12"/>
        <v>Amber</v>
      </c>
    </row>
    <row r="16" spans="1:28" ht="17.25" thickBot="1" x14ac:dyDescent="0.35">
      <c r="A16" t="s">
        <v>14</v>
      </c>
      <c r="C16" s="2">
        <v>4</v>
      </c>
      <c r="D16" s="2">
        <v>0</v>
      </c>
      <c r="E16" s="2">
        <v>0</v>
      </c>
      <c r="F16" s="2">
        <v>0</v>
      </c>
      <c r="G16" s="2">
        <v>0</v>
      </c>
      <c r="H16" s="2">
        <v>5</v>
      </c>
      <c r="I16" s="2">
        <v>2</v>
      </c>
      <c r="J16" s="2">
        <v>5</v>
      </c>
      <c r="K16" s="2">
        <v>6</v>
      </c>
      <c r="L16" s="27">
        <v>1</v>
      </c>
      <c r="M16" s="27">
        <v>16</v>
      </c>
      <c r="N16" s="2">
        <v>1909600</v>
      </c>
      <c r="O16" s="2">
        <v>10</v>
      </c>
      <c r="P16" s="13">
        <f t="shared" si="0"/>
        <v>7</v>
      </c>
      <c r="Q16" s="14">
        <f t="shared" si="1"/>
        <v>1.75</v>
      </c>
      <c r="R16" s="14">
        <f t="shared" si="2"/>
        <v>0.25</v>
      </c>
      <c r="S16" s="14">
        <f t="shared" si="3"/>
        <v>4</v>
      </c>
      <c r="T16" s="15">
        <f t="shared" si="4"/>
        <v>15</v>
      </c>
      <c r="U16" s="15">
        <f t="shared" si="5"/>
        <v>10</v>
      </c>
      <c r="V16" s="15">
        <f t="shared" si="6"/>
        <v>20</v>
      </c>
      <c r="W16" s="15">
        <f t="shared" si="7"/>
        <v>0</v>
      </c>
      <c r="X16" s="15">
        <f t="shared" si="8"/>
        <v>10</v>
      </c>
      <c r="Y16" s="15">
        <f t="shared" si="9"/>
        <v>10</v>
      </c>
      <c r="Z16" s="15">
        <f t="shared" si="10"/>
        <v>5</v>
      </c>
      <c r="AA16" s="16">
        <f t="shared" si="11"/>
        <v>70</v>
      </c>
      <c r="AB16" s="16" t="str">
        <f t="shared" si="12"/>
        <v>Green</v>
      </c>
    </row>
    <row r="17" spans="1:28" ht="17.25" thickBot="1" x14ac:dyDescent="0.35">
      <c r="A17" t="s">
        <v>11</v>
      </c>
      <c r="C17" s="2">
        <v>3</v>
      </c>
      <c r="D17" s="2">
        <v>1</v>
      </c>
      <c r="E17" s="2">
        <v>0</v>
      </c>
      <c r="F17" s="2">
        <v>0</v>
      </c>
      <c r="G17" s="2">
        <v>0</v>
      </c>
      <c r="H17" s="2">
        <v>5</v>
      </c>
      <c r="I17" s="2">
        <v>2</v>
      </c>
      <c r="J17" s="2">
        <v>0</v>
      </c>
      <c r="K17" s="2">
        <v>2</v>
      </c>
      <c r="L17" s="2">
        <v>1</v>
      </c>
      <c r="M17" s="2">
        <v>8</v>
      </c>
      <c r="N17" s="2">
        <v>5592400</v>
      </c>
      <c r="O17" s="2">
        <v>9</v>
      </c>
      <c r="P17" s="13">
        <f t="shared" si="0"/>
        <v>7</v>
      </c>
      <c r="Q17" s="14">
        <f t="shared" si="1"/>
        <v>1.75</v>
      </c>
      <c r="R17" s="14">
        <f t="shared" si="2"/>
        <v>0.25</v>
      </c>
      <c r="S17" s="14">
        <f t="shared" si="3"/>
        <v>2</v>
      </c>
      <c r="T17" s="15">
        <f t="shared" si="4"/>
        <v>10</v>
      </c>
      <c r="U17" s="15">
        <f t="shared" si="5"/>
        <v>10</v>
      </c>
      <c r="V17" s="15">
        <f t="shared" si="6"/>
        <v>20</v>
      </c>
      <c r="W17" s="15">
        <f t="shared" si="7"/>
        <v>0</v>
      </c>
      <c r="X17" s="15">
        <f t="shared" si="8"/>
        <v>10</v>
      </c>
      <c r="Y17" s="15">
        <f t="shared" si="9"/>
        <v>10</v>
      </c>
      <c r="Z17" s="15">
        <f t="shared" si="10"/>
        <v>0</v>
      </c>
      <c r="AA17" s="16">
        <f t="shared" si="11"/>
        <v>60</v>
      </c>
      <c r="AB17" s="16" t="str">
        <f t="shared" si="12"/>
        <v>Amber</v>
      </c>
    </row>
    <row r="18" spans="1:28" ht="17.25" thickBot="1" x14ac:dyDescent="0.35">
      <c r="A18" t="s">
        <v>15</v>
      </c>
      <c r="C18" s="2">
        <v>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7</v>
      </c>
      <c r="J18" s="2">
        <v>1</v>
      </c>
      <c r="K18" s="2">
        <v>2</v>
      </c>
      <c r="L18" s="2">
        <v>0</v>
      </c>
      <c r="M18" s="27">
        <v>16</v>
      </c>
      <c r="N18" s="2">
        <v>2000000</v>
      </c>
      <c r="O18" s="2">
        <v>3</v>
      </c>
      <c r="P18" s="13">
        <f t="shared" si="0"/>
        <v>7</v>
      </c>
      <c r="Q18" s="14">
        <f t="shared" si="1"/>
        <v>1.75</v>
      </c>
      <c r="R18" s="14">
        <f t="shared" si="2"/>
        <v>0</v>
      </c>
      <c r="S18" s="14">
        <f t="shared" si="3"/>
        <v>4</v>
      </c>
      <c r="T18" s="15">
        <f t="shared" si="4"/>
        <v>15</v>
      </c>
      <c r="U18" s="15">
        <f t="shared" si="5"/>
        <v>10</v>
      </c>
      <c r="V18" s="15">
        <f t="shared" si="6"/>
        <v>20</v>
      </c>
      <c r="W18" s="15">
        <f t="shared" si="7"/>
        <v>0</v>
      </c>
      <c r="X18" s="15">
        <f t="shared" si="8"/>
        <v>0</v>
      </c>
      <c r="Y18" s="15">
        <f t="shared" si="9"/>
        <v>10</v>
      </c>
      <c r="Z18" s="15">
        <f t="shared" si="10"/>
        <v>0</v>
      </c>
      <c r="AA18" s="16">
        <f t="shared" si="11"/>
        <v>55</v>
      </c>
      <c r="AB18" s="16" t="str">
        <f t="shared" si="12"/>
        <v>Amber</v>
      </c>
    </row>
    <row r="19" spans="1:28" ht="17.25" thickBot="1" x14ac:dyDescent="0.35">
      <c r="A19" t="s">
        <v>72</v>
      </c>
      <c r="C19" s="2">
        <v>2</v>
      </c>
      <c r="D19" s="2">
        <v>1</v>
      </c>
      <c r="E19" s="2">
        <v>0</v>
      </c>
      <c r="F19" s="2">
        <v>0</v>
      </c>
      <c r="G19" s="2">
        <v>1</v>
      </c>
      <c r="H19" s="2">
        <v>2</v>
      </c>
      <c r="I19" s="2">
        <v>5</v>
      </c>
      <c r="J19" s="2">
        <v>0</v>
      </c>
      <c r="K19" s="2">
        <v>3</v>
      </c>
      <c r="L19" s="2">
        <v>0</v>
      </c>
      <c r="M19" s="2">
        <v>7</v>
      </c>
      <c r="N19" s="2">
        <v>4120000</v>
      </c>
      <c r="O19" s="2">
        <v>4</v>
      </c>
      <c r="P19" s="13">
        <f t="shared" si="0"/>
        <v>7</v>
      </c>
      <c r="Q19" s="14">
        <f t="shared" si="1"/>
        <v>1.75</v>
      </c>
      <c r="R19" s="14">
        <f t="shared" si="2"/>
        <v>0</v>
      </c>
      <c r="S19" s="14">
        <f t="shared" si="3"/>
        <v>1.75</v>
      </c>
      <c r="T19" s="15">
        <f t="shared" si="4"/>
        <v>10</v>
      </c>
      <c r="U19" s="15">
        <f t="shared" si="5"/>
        <v>10</v>
      </c>
      <c r="V19" s="15">
        <f t="shared" si="6"/>
        <v>20</v>
      </c>
      <c r="W19" s="15">
        <f t="shared" si="7"/>
        <v>0</v>
      </c>
      <c r="X19" s="15">
        <f t="shared" si="8"/>
        <v>0</v>
      </c>
      <c r="Y19" s="15">
        <f t="shared" si="9"/>
        <v>5</v>
      </c>
      <c r="Z19" s="15">
        <f t="shared" si="10"/>
        <v>0</v>
      </c>
      <c r="AA19" s="16">
        <f t="shared" si="11"/>
        <v>45</v>
      </c>
      <c r="AB19" s="16" t="str">
        <f t="shared" si="12"/>
        <v>Red</v>
      </c>
    </row>
    <row r="20" spans="1:28" ht="17.25" thickBot="1" x14ac:dyDescent="0.35">
      <c r="A20" t="s">
        <v>24</v>
      </c>
      <c r="C20" s="2">
        <v>4</v>
      </c>
      <c r="D20" s="2">
        <v>0</v>
      </c>
      <c r="E20" s="2">
        <v>0</v>
      </c>
      <c r="F20" s="2">
        <v>0</v>
      </c>
      <c r="G20" s="2">
        <v>0</v>
      </c>
      <c r="H20" s="2">
        <v>3</v>
      </c>
      <c r="I20" s="2">
        <v>4</v>
      </c>
      <c r="J20" s="2">
        <v>2</v>
      </c>
      <c r="K20" s="2">
        <v>7</v>
      </c>
      <c r="L20" s="2">
        <v>0</v>
      </c>
      <c r="M20" s="2">
        <v>5</v>
      </c>
      <c r="N20" s="2">
        <v>178000</v>
      </c>
      <c r="O20" s="2">
        <v>4</v>
      </c>
      <c r="P20" s="13">
        <f t="shared" si="0"/>
        <v>7</v>
      </c>
      <c r="Q20" s="14">
        <f t="shared" si="1"/>
        <v>1.75</v>
      </c>
      <c r="R20" s="14">
        <f t="shared" si="2"/>
        <v>0</v>
      </c>
      <c r="S20" s="14">
        <f t="shared" si="3"/>
        <v>1.25</v>
      </c>
      <c r="T20" s="15">
        <f t="shared" si="4"/>
        <v>15</v>
      </c>
      <c r="U20" s="15">
        <f t="shared" si="5"/>
        <v>10</v>
      </c>
      <c r="V20" s="15">
        <f t="shared" si="6"/>
        <v>20</v>
      </c>
      <c r="W20" s="15">
        <f t="shared" si="7"/>
        <v>0</v>
      </c>
      <c r="X20" s="15">
        <f t="shared" si="8"/>
        <v>0</v>
      </c>
      <c r="Y20" s="15">
        <f t="shared" si="9"/>
        <v>5</v>
      </c>
      <c r="Z20" s="15">
        <f t="shared" si="10"/>
        <v>0</v>
      </c>
      <c r="AA20" s="16">
        <f t="shared" si="11"/>
        <v>50</v>
      </c>
      <c r="AB20" s="16" t="str">
        <f t="shared" si="12"/>
        <v>Amber</v>
      </c>
    </row>
    <row r="21" spans="1:28" ht="17.25" thickBot="1" x14ac:dyDescent="0.35">
      <c r="A21" t="s">
        <v>23</v>
      </c>
      <c r="C21" s="1">
        <v>4</v>
      </c>
      <c r="D21" s="1">
        <v>0</v>
      </c>
      <c r="E21" s="1">
        <v>0</v>
      </c>
      <c r="F21" s="1">
        <v>0</v>
      </c>
      <c r="G21" s="1">
        <v>0</v>
      </c>
      <c r="H21" s="1">
        <v>3</v>
      </c>
      <c r="I21" s="1">
        <v>3</v>
      </c>
      <c r="J21" s="1">
        <v>7</v>
      </c>
      <c r="K21" s="1">
        <v>4</v>
      </c>
      <c r="L21" s="1">
        <v>1</v>
      </c>
      <c r="M21" s="1">
        <v>4</v>
      </c>
      <c r="N21" s="1">
        <v>7827230</v>
      </c>
      <c r="O21" s="1">
        <v>4</v>
      </c>
      <c r="P21" s="13">
        <f t="shared" si="0"/>
        <v>6</v>
      </c>
      <c r="Q21" s="14">
        <f t="shared" si="1"/>
        <v>1.5</v>
      </c>
      <c r="R21" s="14">
        <f t="shared" si="2"/>
        <v>0.25</v>
      </c>
      <c r="S21" s="14">
        <f t="shared" si="3"/>
        <v>1</v>
      </c>
      <c r="T21" s="15">
        <f t="shared" si="4"/>
        <v>15</v>
      </c>
      <c r="U21" s="15">
        <f t="shared" si="5"/>
        <v>10</v>
      </c>
      <c r="V21" s="15">
        <f t="shared" si="6"/>
        <v>20</v>
      </c>
      <c r="W21" s="15">
        <f t="shared" si="7"/>
        <v>0</v>
      </c>
      <c r="X21" s="15">
        <f t="shared" si="8"/>
        <v>10</v>
      </c>
      <c r="Y21" s="15">
        <f t="shared" si="9"/>
        <v>5</v>
      </c>
      <c r="Z21" s="15">
        <f t="shared" si="10"/>
        <v>0</v>
      </c>
      <c r="AA21" s="16">
        <f t="shared" si="11"/>
        <v>60</v>
      </c>
      <c r="AB21" s="16" t="str">
        <f t="shared" si="12"/>
        <v>Amber</v>
      </c>
    </row>
    <row r="22" spans="1:28" ht="17.25" thickBot="1" x14ac:dyDescent="0.35">
      <c r="A22" t="s">
        <v>67</v>
      </c>
      <c r="C22" s="2">
        <v>3</v>
      </c>
      <c r="D22" s="2">
        <v>0</v>
      </c>
      <c r="E22" s="2">
        <v>0</v>
      </c>
      <c r="F22" s="2">
        <v>0</v>
      </c>
      <c r="G22" s="2">
        <v>1</v>
      </c>
      <c r="H22" s="2">
        <v>4</v>
      </c>
      <c r="I22" s="2">
        <v>2</v>
      </c>
      <c r="J22" s="2">
        <v>4</v>
      </c>
      <c r="K22" s="2">
        <v>7</v>
      </c>
      <c r="L22" s="2">
        <v>0</v>
      </c>
      <c r="M22" s="2">
        <v>13</v>
      </c>
      <c r="N22" s="27">
        <v>19328000</v>
      </c>
      <c r="O22" s="2">
        <v>9</v>
      </c>
      <c r="P22" s="13">
        <f t="shared" si="0"/>
        <v>6</v>
      </c>
      <c r="Q22" s="14">
        <f t="shared" si="1"/>
        <v>1.5</v>
      </c>
      <c r="R22" s="14">
        <f t="shared" si="2"/>
        <v>0</v>
      </c>
      <c r="S22" s="14">
        <f t="shared" si="3"/>
        <v>3.25</v>
      </c>
      <c r="T22" s="15">
        <f t="shared" si="4"/>
        <v>15</v>
      </c>
      <c r="U22" s="15">
        <f t="shared" si="5"/>
        <v>10</v>
      </c>
      <c r="V22" s="15">
        <f t="shared" si="6"/>
        <v>20</v>
      </c>
      <c r="W22" s="15">
        <f t="shared" si="7"/>
        <v>0</v>
      </c>
      <c r="X22" s="15">
        <f t="shared" si="8"/>
        <v>0</v>
      </c>
      <c r="Y22" s="15">
        <f t="shared" si="9"/>
        <v>10</v>
      </c>
      <c r="Z22" s="15">
        <f t="shared" si="10"/>
        <v>0</v>
      </c>
      <c r="AA22" s="16">
        <f t="shared" si="11"/>
        <v>55</v>
      </c>
      <c r="AB22" s="16" t="str">
        <f t="shared" si="12"/>
        <v>Amber</v>
      </c>
    </row>
    <row r="23" spans="1:28" ht="17.25" thickBot="1" x14ac:dyDescent="0.35">
      <c r="A23" t="s">
        <v>19</v>
      </c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4</v>
      </c>
      <c r="I23" s="1">
        <v>1</v>
      </c>
      <c r="J23" s="1">
        <v>0</v>
      </c>
      <c r="K23" s="1">
        <v>1</v>
      </c>
      <c r="L23" s="1">
        <v>0</v>
      </c>
      <c r="M23" s="1">
        <v>15</v>
      </c>
      <c r="N23" s="1">
        <v>2080000</v>
      </c>
      <c r="O23" s="1">
        <v>4</v>
      </c>
      <c r="P23" s="13">
        <f t="shared" si="0"/>
        <v>5</v>
      </c>
      <c r="Q23" s="14">
        <f t="shared" si="1"/>
        <v>1.25</v>
      </c>
      <c r="R23" s="14">
        <f t="shared" si="2"/>
        <v>0</v>
      </c>
      <c r="S23" s="14">
        <f t="shared" si="3"/>
        <v>3.75</v>
      </c>
      <c r="T23" s="15">
        <f t="shared" si="4"/>
        <v>15</v>
      </c>
      <c r="U23" s="15">
        <f t="shared" si="5"/>
        <v>10</v>
      </c>
      <c r="V23" s="15">
        <f t="shared" si="6"/>
        <v>20</v>
      </c>
      <c r="W23" s="15">
        <f t="shared" si="7"/>
        <v>0</v>
      </c>
      <c r="X23" s="15">
        <f t="shared" si="8"/>
        <v>0</v>
      </c>
      <c r="Y23" s="15">
        <f t="shared" si="9"/>
        <v>10</v>
      </c>
      <c r="Z23" s="15">
        <f t="shared" si="10"/>
        <v>0</v>
      </c>
      <c r="AA23" s="16">
        <f t="shared" si="11"/>
        <v>55</v>
      </c>
      <c r="AB23" s="16" t="str">
        <f t="shared" si="12"/>
        <v>Amber</v>
      </c>
    </row>
    <row r="24" spans="1:28" ht="17.25" thickBot="1" x14ac:dyDescent="0.35">
      <c r="A24" t="s">
        <v>9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5</v>
      </c>
      <c r="J24" s="1">
        <v>6</v>
      </c>
      <c r="K24" s="1">
        <v>2</v>
      </c>
      <c r="L24" s="1">
        <v>0</v>
      </c>
      <c r="M24" s="1">
        <v>8</v>
      </c>
      <c r="N24" s="1">
        <v>465200</v>
      </c>
      <c r="O24" s="1">
        <v>4</v>
      </c>
      <c r="P24" s="13">
        <f t="shared" si="0"/>
        <v>5</v>
      </c>
      <c r="Q24" s="14">
        <f t="shared" si="1"/>
        <v>1.25</v>
      </c>
      <c r="R24" s="14">
        <f t="shared" si="2"/>
        <v>0</v>
      </c>
      <c r="S24" s="14">
        <f t="shared" si="3"/>
        <v>2</v>
      </c>
      <c r="T24" s="15">
        <f t="shared" si="4"/>
        <v>15</v>
      </c>
      <c r="U24" s="15">
        <f t="shared" si="5"/>
        <v>10</v>
      </c>
      <c r="V24" s="15">
        <f t="shared" si="6"/>
        <v>20</v>
      </c>
      <c r="W24" s="15">
        <f t="shared" si="7"/>
        <v>0</v>
      </c>
      <c r="X24" s="15">
        <f t="shared" si="8"/>
        <v>0</v>
      </c>
      <c r="Y24" s="15">
        <f t="shared" si="9"/>
        <v>10</v>
      </c>
      <c r="Z24" s="15">
        <f t="shared" si="10"/>
        <v>0</v>
      </c>
      <c r="AA24" s="16">
        <f t="shared" si="11"/>
        <v>55</v>
      </c>
      <c r="AB24" s="16" t="str">
        <f t="shared" si="12"/>
        <v>Amber</v>
      </c>
    </row>
    <row r="25" spans="1:28" ht="17.25" thickBot="1" x14ac:dyDescent="0.35">
      <c r="A25" t="s">
        <v>22</v>
      </c>
      <c r="C25" s="2">
        <v>3</v>
      </c>
      <c r="D25" s="2">
        <v>0</v>
      </c>
      <c r="E25" s="2">
        <v>0</v>
      </c>
      <c r="F25" s="2">
        <v>1</v>
      </c>
      <c r="G25" s="2">
        <v>0</v>
      </c>
      <c r="H25" s="2">
        <v>3</v>
      </c>
      <c r="I25" s="2">
        <v>2</v>
      </c>
      <c r="J25" s="2">
        <v>0</v>
      </c>
      <c r="K25" s="2">
        <v>3</v>
      </c>
      <c r="L25" s="2">
        <v>0</v>
      </c>
      <c r="M25" s="2">
        <v>8</v>
      </c>
      <c r="N25" s="2">
        <v>160000</v>
      </c>
      <c r="O25" s="2">
        <v>6</v>
      </c>
      <c r="P25" s="13">
        <f t="shared" si="0"/>
        <v>5</v>
      </c>
      <c r="Q25" s="14">
        <f t="shared" si="1"/>
        <v>1.25</v>
      </c>
      <c r="R25" s="14">
        <f t="shared" si="2"/>
        <v>0</v>
      </c>
      <c r="S25" s="14">
        <f t="shared" si="3"/>
        <v>2</v>
      </c>
      <c r="T25" s="15">
        <f t="shared" si="4"/>
        <v>15</v>
      </c>
      <c r="U25" s="15">
        <f t="shared" si="5"/>
        <v>10</v>
      </c>
      <c r="V25" s="15">
        <f t="shared" si="6"/>
        <v>20</v>
      </c>
      <c r="W25" s="15">
        <f t="shared" si="7"/>
        <v>0</v>
      </c>
      <c r="X25" s="15">
        <f t="shared" si="8"/>
        <v>0</v>
      </c>
      <c r="Y25" s="15">
        <f t="shared" si="9"/>
        <v>10</v>
      </c>
      <c r="Z25" s="15">
        <f t="shared" si="10"/>
        <v>0</v>
      </c>
      <c r="AA25" s="16">
        <f t="shared" si="11"/>
        <v>55</v>
      </c>
      <c r="AB25" s="16" t="str">
        <f t="shared" si="12"/>
        <v>Amber</v>
      </c>
    </row>
    <row r="26" spans="1:28" ht="17.25" thickBot="1" x14ac:dyDescent="0.35">
      <c r="A26" t="s">
        <v>65</v>
      </c>
      <c r="C26" s="2">
        <v>3</v>
      </c>
      <c r="D26" s="2">
        <v>0</v>
      </c>
      <c r="E26" s="2">
        <v>0</v>
      </c>
      <c r="F26" s="2">
        <v>1</v>
      </c>
      <c r="G26" s="2">
        <v>0</v>
      </c>
      <c r="H26" s="2">
        <v>2</v>
      </c>
      <c r="I26" s="2">
        <v>3</v>
      </c>
      <c r="J26" s="2">
        <v>0</v>
      </c>
      <c r="K26" s="2">
        <v>2</v>
      </c>
      <c r="L26" s="2">
        <v>0</v>
      </c>
      <c r="M26" s="2">
        <v>2</v>
      </c>
      <c r="N26" s="2">
        <v>520000</v>
      </c>
      <c r="O26" s="2">
        <v>5</v>
      </c>
      <c r="P26" s="13">
        <f t="shared" si="0"/>
        <v>5</v>
      </c>
      <c r="Q26" s="14">
        <f t="shared" si="1"/>
        <v>1.25</v>
      </c>
      <c r="R26" s="14">
        <f t="shared" si="2"/>
        <v>0</v>
      </c>
      <c r="S26" s="14">
        <f t="shared" si="3"/>
        <v>0.5</v>
      </c>
      <c r="T26" s="15">
        <f t="shared" si="4"/>
        <v>15</v>
      </c>
      <c r="U26" s="15">
        <f t="shared" si="5"/>
        <v>10</v>
      </c>
      <c r="V26" s="15">
        <f t="shared" si="6"/>
        <v>20</v>
      </c>
      <c r="W26" s="15">
        <f t="shared" si="7"/>
        <v>0</v>
      </c>
      <c r="X26" s="15">
        <f t="shared" si="8"/>
        <v>0</v>
      </c>
      <c r="Y26" s="15">
        <f t="shared" si="9"/>
        <v>0</v>
      </c>
      <c r="Z26" s="15">
        <f t="shared" si="10"/>
        <v>0</v>
      </c>
      <c r="AA26" s="16">
        <f t="shared" si="11"/>
        <v>45</v>
      </c>
      <c r="AB26" s="16" t="str">
        <f t="shared" si="12"/>
        <v>Red</v>
      </c>
    </row>
    <row r="27" spans="1:28" ht="17.25" thickBot="1" x14ac:dyDescent="0.35">
      <c r="A27" t="s">
        <v>8</v>
      </c>
      <c r="C27" s="2">
        <v>3</v>
      </c>
      <c r="D27" s="2">
        <v>1</v>
      </c>
      <c r="E27" s="2">
        <v>0</v>
      </c>
      <c r="F27" s="2">
        <v>0</v>
      </c>
      <c r="G27" s="2">
        <v>0</v>
      </c>
      <c r="H27" s="2">
        <v>3</v>
      </c>
      <c r="I27" s="2">
        <v>1</v>
      </c>
      <c r="J27" s="2">
        <v>2</v>
      </c>
      <c r="K27" s="2">
        <v>4</v>
      </c>
      <c r="L27" s="2">
        <v>0</v>
      </c>
      <c r="M27" s="2">
        <v>5</v>
      </c>
      <c r="N27" s="2">
        <v>210000</v>
      </c>
      <c r="O27" s="2">
        <v>0</v>
      </c>
      <c r="P27" s="13">
        <f t="shared" si="0"/>
        <v>4</v>
      </c>
      <c r="Q27" s="14">
        <f t="shared" si="1"/>
        <v>1</v>
      </c>
      <c r="R27" s="14">
        <f t="shared" si="2"/>
        <v>0</v>
      </c>
      <c r="S27" s="14">
        <f t="shared" si="3"/>
        <v>1.25</v>
      </c>
      <c r="T27" s="15">
        <f t="shared" si="4"/>
        <v>10</v>
      </c>
      <c r="U27" s="15">
        <f t="shared" si="5"/>
        <v>10</v>
      </c>
      <c r="V27" s="15">
        <f t="shared" si="6"/>
        <v>15</v>
      </c>
      <c r="W27" s="15">
        <f t="shared" si="7"/>
        <v>0</v>
      </c>
      <c r="X27" s="15">
        <f t="shared" si="8"/>
        <v>0</v>
      </c>
      <c r="Y27" s="15">
        <f t="shared" si="9"/>
        <v>5</v>
      </c>
      <c r="Z27" s="15">
        <f t="shared" si="10"/>
        <v>0</v>
      </c>
      <c r="AA27" s="16">
        <f t="shared" si="11"/>
        <v>40</v>
      </c>
      <c r="AB27" s="16" t="str">
        <f t="shared" si="12"/>
        <v>Red</v>
      </c>
    </row>
    <row r="28" spans="1:28" ht="17.25" thickBot="1" x14ac:dyDescent="0.35">
      <c r="A28" t="s">
        <v>70</v>
      </c>
      <c r="C28" s="2">
        <v>4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2</v>
      </c>
      <c r="J28" s="2">
        <v>3</v>
      </c>
      <c r="K28" s="2">
        <v>6</v>
      </c>
      <c r="L28" s="2">
        <v>1</v>
      </c>
      <c r="M28" s="2">
        <v>12</v>
      </c>
      <c r="N28" s="2">
        <v>170000</v>
      </c>
      <c r="O28" s="2">
        <v>10</v>
      </c>
      <c r="P28" s="13">
        <f t="shared" si="0"/>
        <v>3</v>
      </c>
      <c r="Q28" s="14">
        <f t="shared" si="1"/>
        <v>0.75</v>
      </c>
      <c r="R28" s="14">
        <f t="shared" si="2"/>
        <v>0.25</v>
      </c>
      <c r="S28" s="14">
        <f t="shared" si="3"/>
        <v>3</v>
      </c>
      <c r="T28" s="15">
        <f t="shared" si="4"/>
        <v>15</v>
      </c>
      <c r="U28" s="15">
        <f t="shared" si="5"/>
        <v>10</v>
      </c>
      <c r="V28" s="15">
        <f t="shared" si="6"/>
        <v>10</v>
      </c>
      <c r="W28" s="15">
        <f t="shared" si="7"/>
        <v>0</v>
      </c>
      <c r="X28" s="15">
        <f t="shared" si="8"/>
        <v>10</v>
      </c>
      <c r="Y28" s="15">
        <f t="shared" si="9"/>
        <v>10</v>
      </c>
      <c r="Z28" s="15">
        <f t="shared" si="10"/>
        <v>5</v>
      </c>
      <c r="AA28" s="16">
        <f t="shared" si="11"/>
        <v>60</v>
      </c>
      <c r="AB28" s="16" t="str">
        <f t="shared" si="12"/>
        <v>Amber</v>
      </c>
    </row>
    <row r="29" spans="1:28" ht="17.25" thickBot="1" x14ac:dyDescent="0.35">
      <c r="A29" t="s">
        <v>6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3</v>
      </c>
      <c r="J29" s="1">
        <v>3</v>
      </c>
      <c r="K29" s="1">
        <v>5</v>
      </c>
      <c r="L29" s="1">
        <v>0</v>
      </c>
      <c r="M29" s="1">
        <v>11</v>
      </c>
      <c r="N29" s="1">
        <v>5000000</v>
      </c>
      <c r="O29" s="1">
        <v>2</v>
      </c>
      <c r="P29" s="13">
        <f t="shared" si="0"/>
        <v>3</v>
      </c>
      <c r="Q29" s="14">
        <f t="shared" si="1"/>
        <v>0.75</v>
      </c>
      <c r="R29" s="14">
        <f t="shared" si="2"/>
        <v>0</v>
      </c>
      <c r="S29" s="14">
        <f t="shared" si="3"/>
        <v>2.75</v>
      </c>
      <c r="T29" s="15">
        <f t="shared" si="4"/>
        <v>15</v>
      </c>
      <c r="U29" s="15">
        <f t="shared" si="5"/>
        <v>10</v>
      </c>
      <c r="V29" s="15">
        <f t="shared" si="6"/>
        <v>10</v>
      </c>
      <c r="W29" s="15">
        <f t="shared" si="7"/>
        <v>0</v>
      </c>
      <c r="X29" s="15">
        <f t="shared" si="8"/>
        <v>0</v>
      </c>
      <c r="Y29" s="15">
        <f t="shared" si="9"/>
        <v>10</v>
      </c>
      <c r="Z29" s="15">
        <f t="shared" si="10"/>
        <v>0</v>
      </c>
      <c r="AA29" s="16">
        <f t="shared" si="11"/>
        <v>45</v>
      </c>
      <c r="AB29" s="16" t="str">
        <f t="shared" si="12"/>
        <v>Red</v>
      </c>
    </row>
    <row r="30" spans="1:28" ht="17.25" thickBot="1" x14ac:dyDescent="0.35">
      <c r="A30" t="s">
        <v>1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3</v>
      </c>
      <c r="J30" s="1">
        <v>0</v>
      </c>
      <c r="K30" s="1">
        <v>5</v>
      </c>
      <c r="L30" s="1">
        <v>0</v>
      </c>
      <c r="M30" s="1">
        <v>11</v>
      </c>
      <c r="N30" s="1">
        <v>501300</v>
      </c>
      <c r="O30" s="1">
        <v>12</v>
      </c>
      <c r="P30" s="13">
        <f t="shared" si="0"/>
        <v>3</v>
      </c>
      <c r="Q30" s="14">
        <f t="shared" si="1"/>
        <v>0.75</v>
      </c>
      <c r="R30" s="14">
        <f t="shared" si="2"/>
        <v>0</v>
      </c>
      <c r="S30" s="14">
        <f t="shared" si="3"/>
        <v>2.75</v>
      </c>
      <c r="T30" s="15">
        <f t="shared" si="4"/>
        <v>15</v>
      </c>
      <c r="U30" s="15">
        <f t="shared" si="5"/>
        <v>10</v>
      </c>
      <c r="V30" s="15">
        <f t="shared" si="6"/>
        <v>10</v>
      </c>
      <c r="W30" s="15">
        <f t="shared" si="7"/>
        <v>0</v>
      </c>
      <c r="X30" s="15">
        <f t="shared" si="8"/>
        <v>0</v>
      </c>
      <c r="Y30" s="15">
        <f t="shared" si="9"/>
        <v>10</v>
      </c>
      <c r="Z30" s="15">
        <f t="shared" si="10"/>
        <v>5</v>
      </c>
      <c r="AA30" s="16">
        <f t="shared" si="11"/>
        <v>50</v>
      </c>
      <c r="AB30" s="16" t="str">
        <f t="shared" si="12"/>
        <v>Amber</v>
      </c>
    </row>
    <row r="31" spans="1:28" ht="17.25" thickBot="1" x14ac:dyDescent="0.35">
      <c r="A31" t="s">
        <v>12</v>
      </c>
      <c r="C31" s="2">
        <v>2</v>
      </c>
      <c r="D31" s="2">
        <v>1</v>
      </c>
      <c r="E31" s="2">
        <v>0</v>
      </c>
      <c r="F31" s="2">
        <v>0</v>
      </c>
      <c r="G31" s="2">
        <v>1</v>
      </c>
      <c r="H31" s="2">
        <v>1</v>
      </c>
      <c r="I31" s="2">
        <v>1</v>
      </c>
      <c r="J31" s="2">
        <v>3</v>
      </c>
      <c r="K31" s="2">
        <v>0</v>
      </c>
      <c r="L31" s="2">
        <v>0</v>
      </c>
      <c r="M31" s="2">
        <v>1</v>
      </c>
      <c r="N31" s="2">
        <v>425000</v>
      </c>
      <c r="O31" s="2">
        <v>3</v>
      </c>
      <c r="P31" s="13">
        <f t="shared" si="0"/>
        <v>2</v>
      </c>
      <c r="Q31" s="14">
        <f t="shared" si="1"/>
        <v>0.5</v>
      </c>
      <c r="R31" s="14">
        <f t="shared" si="2"/>
        <v>0</v>
      </c>
      <c r="S31" s="14">
        <f t="shared" si="3"/>
        <v>0.25</v>
      </c>
      <c r="T31" s="15">
        <f t="shared" si="4"/>
        <v>10</v>
      </c>
      <c r="U31" s="15">
        <f t="shared" si="5"/>
        <v>10</v>
      </c>
      <c r="V31" s="15">
        <f t="shared" si="6"/>
        <v>5</v>
      </c>
      <c r="W31" s="15">
        <f t="shared" si="7"/>
        <v>0</v>
      </c>
      <c r="X31" s="15">
        <f t="shared" si="8"/>
        <v>0</v>
      </c>
      <c r="Y31" s="15">
        <f t="shared" si="9"/>
        <v>0</v>
      </c>
      <c r="Z31" s="15">
        <f t="shared" si="10"/>
        <v>0</v>
      </c>
      <c r="AA31" s="16">
        <f t="shared" si="11"/>
        <v>25</v>
      </c>
      <c r="AB31" s="16" t="str">
        <f t="shared" si="12"/>
        <v>Grey</v>
      </c>
    </row>
    <row r="32" spans="1:28" ht="17.25" thickBot="1" x14ac:dyDescent="0.35">
      <c r="A32" t="s">
        <v>69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1</v>
      </c>
      <c r="L32" s="1">
        <v>0</v>
      </c>
      <c r="M32" s="27">
        <v>17</v>
      </c>
      <c r="N32" s="1">
        <v>20000</v>
      </c>
      <c r="O32" s="27">
        <v>20</v>
      </c>
      <c r="P32" s="13">
        <f t="shared" si="0"/>
        <v>1</v>
      </c>
      <c r="Q32" s="14">
        <f t="shared" si="1"/>
        <v>0.25</v>
      </c>
      <c r="R32" s="14">
        <f t="shared" si="2"/>
        <v>0</v>
      </c>
      <c r="S32" s="14">
        <f t="shared" si="3"/>
        <v>4.25</v>
      </c>
      <c r="T32" s="15">
        <f t="shared" si="4"/>
        <v>15</v>
      </c>
      <c r="U32" s="15">
        <f t="shared" si="5"/>
        <v>10</v>
      </c>
      <c r="V32" s="15">
        <f t="shared" si="6"/>
        <v>0</v>
      </c>
      <c r="W32" s="15">
        <f t="shared" si="7"/>
        <v>0</v>
      </c>
      <c r="X32" s="15">
        <f t="shared" si="8"/>
        <v>0</v>
      </c>
      <c r="Y32" s="15">
        <f t="shared" si="9"/>
        <v>10</v>
      </c>
      <c r="Z32" s="15">
        <f t="shared" si="10"/>
        <v>10</v>
      </c>
      <c r="AA32" s="16">
        <f t="shared" si="11"/>
        <v>45</v>
      </c>
      <c r="AB32" s="16" t="str">
        <f t="shared" si="12"/>
        <v>Red</v>
      </c>
    </row>
    <row r="33" spans="1:28" ht="17.25" thickBot="1" x14ac:dyDescent="0.35">
      <c r="A33" t="s">
        <v>10</v>
      </c>
      <c r="C33" s="1">
        <v>3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8</v>
      </c>
      <c r="P33" s="13">
        <f t="shared" si="0"/>
        <v>0</v>
      </c>
      <c r="Q33" s="14">
        <f t="shared" si="1"/>
        <v>0</v>
      </c>
      <c r="R33" s="14">
        <f t="shared" si="2"/>
        <v>0.25</v>
      </c>
      <c r="S33" s="14">
        <f t="shared" si="3"/>
        <v>0.25</v>
      </c>
      <c r="T33" s="15">
        <f t="shared" si="4"/>
        <v>15</v>
      </c>
      <c r="U33" s="15">
        <f t="shared" si="5"/>
        <v>10</v>
      </c>
      <c r="V33" s="15">
        <f t="shared" si="6"/>
        <v>0</v>
      </c>
      <c r="W33" s="15">
        <f t="shared" si="7"/>
        <v>0</v>
      </c>
      <c r="X33" s="15">
        <f t="shared" si="8"/>
        <v>10</v>
      </c>
      <c r="Y33" s="15">
        <f t="shared" si="9"/>
        <v>0</v>
      </c>
      <c r="Z33" s="15">
        <f t="shared" si="10"/>
        <v>0</v>
      </c>
      <c r="AA33" s="16">
        <f t="shared" si="11"/>
        <v>35</v>
      </c>
      <c r="AB33" s="16" t="str">
        <f t="shared" si="12"/>
        <v>Red</v>
      </c>
    </row>
    <row r="34" spans="1:28" ht="17.25" thickBot="1" x14ac:dyDescent="0.35">
      <c r="A34" t="s">
        <v>7</v>
      </c>
      <c r="C34" s="1">
        <v>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  <c r="N34" s="1">
        <v>0</v>
      </c>
      <c r="O34" s="1">
        <v>0</v>
      </c>
      <c r="P34" s="13">
        <f t="shared" si="0"/>
        <v>0</v>
      </c>
      <c r="Q34" s="14">
        <f t="shared" si="1"/>
        <v>0</v>
      </c>
      <c r="R34" s="14">
        <f t="shared" si="2"/>
        <v>0</v>
      </c>
      <c r="S34" s="14">
        <f t="shared" si="3"/>
        <v>0.66666666666666663</v>
      </c>
      <c r="T34" s="15">
        <f t="shared" si="4"/>
        <v>15</v>
      </c>
      <c r="U34" s="15">
        <f t="shared" si="5"/>
        <v>10</v>
      </c>
      <c r="V34" s="15">
        <f t="shared" si="6"/>
        <v>0</v>
      </c>
      <c r="W34" s="15">
        <f t="shared" si="7"/>
        <v>0</v>
      </c>
      <c r="X34" s="15">
        <f t="shared" si="8"/>
        <v>0</v>
      </c>
      <c r="Y34" s="15">
        <f t="shared" si="9"/>
        <v>0</v>
      </c>
      <c r="Z34" s="15">
        <f t="shared" si="10"/>
        <v>0</v>
      </c>
      <c r="AA34" s="16">
        <f t="shared" si="11"/>
        <v>25</v>
      </c>
      <c r="AB34" s="16" t="str">
        <f t="shared" si="12"/>
        <v>Grey</v>
      </c>
    </row>
    <row r="35" spans="1:28" ht="17.25" thickBo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3">
        <f t="shared" si="0"/>
        <v>0</v>
      </c>
      <c r="Q35" s="14" t="e">
        <f t="shared" si="1"/>
        <v>#DIV/0!</v>
      </c>
      <c r="R35" s="14" t="e">
        <f t="shared" si="2"/>
        <v>#DIV/0!</v>
      </c>
      <c r="S35" s="14" t="e">
        <f t="shared" si="3"/>
        <v>#DIV/0!</v>
      </c>
      <c r="T35" s="15">
        <f t="shared" si="4"/>
        <v>15</v>
      </c>
      <c r="U35" s="15">
        <f t="shared" si="5"/>
        <v>10</v>
      </c>
      <c r="V35" s="15" t="e">
        <f t="shared" si="6"/>
        <v>#DIV/0!</v>
      </c>
      <c r="W35" s="15">
        <f t="shared" si="7"/>
        <v>0</v>
      </c>
      <c r="X35" s="15" t="e">
        <f t="shared" si="8"/>
        <v>#DIV/0!</v>
      </c>
      <c r="Y35" s="15" t="e">
        <f t="shared" si="9"/>
        <v>#DIV/0!</v>
      </c>
      <c r="Z35" s="15">
        <f t="shared" si="10"/>
        <v>0</v>
      </c>
      <c r="AA35" s="16" t="e">
        <f t="shared" si="11"/>
        <v>#DIV/0!</v>
      </c>
      <c r="AB35" s="16" t="e">
        <f t="shared" si="12"/>
        <v>#DIV/0!</v>
      </c>
    </row>
  </sheetData>
  <phoneticPr fontId="5" type="noConversion"/>
  <conditionalFormatting sqref="AA3:AA35">
    <cfRule type="iconSet" priority="1">
      <iconSet iconSet="4TrafficLights">
        <cfvo type="percent" val="0"/>
        <cfvo type="num" val="30"/>
        <cfvo type="num" val="50"/>
        <cfvo type="num" val="70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4FD9-C2C6-418A-B6A8-97E29C322FA0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99D2-529C-402C-AD3E-953FC86A9408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659D-21C6-423F-B602-06119EACE4F8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077A-E291-4D81-824D-FD6E7783125B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5343-F6FA-4EE9-B3A5-6FE59D926746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2026-5</vt:lpstr>
      <vt:lpstr>2026-4</vt:lpstr>
      <vt:lpstr>2026-3</vt:lpstr>
      <vt:lpstr>2026-2</vt:lpstr>
      <vt:lpstr>2026-1</vt:lpstr>
      <vt:lpstr>2025-12</vt:lpstr>
      <vt:lpstr>2025-11</vt:lpstr>
      <vt:lpstr>2025-10</vt:lpstr>
      <vt:lpstr>2025-9</vt:lpstr>
      <vt:lpstr>2025-8</vt:lpstr>
      <vt:lpstr>2025-7</vt:lpstr>
      <vt:lpstr>2025-6</vt:lpstr>
      <vt:lpstr>2025-5</vt:lpstr>
      <vt:lpstr>2025-4</vt:lpstr>
      <vt:lpstr>2025-3</vt:lpstr>
      <vt:lpstr>2025-2</vt:lpstr>
      <vt:lpstr>2025-1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승훈 송</dc:creator>
  <cp:lastModifiedBy>승훈 송</cp:lastModifiedBy>
  <dcterms:created xsi:type="dcterms:W3CDTF">2026-04-20T10:16:01Z</dcterms:created>
  <dcterms:modified xsi:type="dcterms:W3CDTF">2026-05-26T09:39:12Z</dcterms:modified>
</cp:coreProperties>
</file>